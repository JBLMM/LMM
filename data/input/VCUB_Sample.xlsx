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1315" windowHeight="9780"/>
  </bookViews>
  <sheets>
    <sheet name="Feuil1" sheetId="1" r:id="rId1"/>
    <sheet name="Feuil2" sheetId="2" r:id="rId2"/>
    <sheet name="Feuil3" sheetId="3" r:id="rId3"/>
  </sheets>
  <calcPr calcId="125725"/>
</workbook>
</file>

<file path=xl/calcChain.xml><?xml version="1.0" encoding="utf-8"?>
<calcChain xmlns="http://schemas.openxmlformats.org/spreadsheetml/2006/main">
  <c r="B150" i="1"/>
  <c r="C150"/>
  <c r="D150"/>
  <c r="E150"/>
  <c r="F150"/>
  <c r="G150"/>
  <c r="H150"/>
  <c r="I150"/>
  <c r="J150"/>
  <c r="K150"/>
  <c r="L150"/>
  <c r="M150"/>
  <c r="N150"/>
  <c r="O150"/>
  <c r="P150"/>
  <c r="B151"/>
  <c r="C151"/>
  <c r="D151"/>
  <c r="E151"/>
  <c r="F151"/>
  <c r="G151"/>
  <c r="H151"/>
  <c r="I151"/>
  <c r="J151"/>
  <c r="K151"/>
  <c r="L151"/>
  <c r="M151"/>
  <c r="N151"/>
  <c r="O151"/>
  <c r="P151"/>
  <c r="B152"/>
  <c r="C152"/>
  <c r="D152"/>
  <c r="E152"/>
  <c r="F152"/>
  <c r="G152"/>
  <c r="H152"/>
  <c r="I152"/>
  <c r="J152"/>
  <c r="K152"/>
  <c r="L152"/>
  <c r="M152"/>
  <c r="N152"/>
  <c r="O152"/>
  <c r="P152"/>
  <c r="B153"/>
  <c r="C153"/>
  <c r="D153"/>
  <c r="E153"/>
  <c r="F153"/>
  <c r="G153"/>
  <c r="H153"/>
  <c r="I153"/>
  <c r="J153"/>
  <c r="K153"/>
  <c r="L153"/>
  <c r="M153"/>
  <c r="N153"/>
  <c r="O153"/>
  <c r="P153"/>
  <c r="B154"/>
  <c r="C154"/>
  <c r="D154"/>
  <c r="E154"/>
  <c r="F154"/>
  <c r="G154"/>
  <c r="H154"/>
  <c r="I154"/>
  <c r="J154"/>
  <c r="K154"/>
  <c r="L154"/>
  <c r="M154"/>
  <c r="N154"/>
  <c r="O154"/>
  <c r="P154"/>
  <c r="B155"/>
  <c r="C155"/>
  <c r="D155"/>
  <c r="E155"/>
  <c r="F155"/>
  <c r="G155"/>
  <c r="H155"/>
  <c r="I155"/>
  <c r="J155"/>
  <c r="K155"/>
  <c r="L155"/>
  <c r="M155"/>
  <c r="N155"/>
  <c r="O155"/>
  <c r="P155"/>
  <c r="B156"/>
  <c r="C156"/>
  <c r="D156"/>
  <c r="E156"/>
  <c r="F156"/>
  <c r="G156"/>
  <c r="H156"/>
  <c r="I156"/>
  <c r="J156"/>
  <c r="K156"/>
  <c r="L156"/>
  <c r="M156"/>
  <c r="N156"/>
  <c r="O156"/>
  <c r="P156"/>
  <c r="B157"/>
  <c r="C157"/>
  <c r="D157"/>
  <c r="E157"/>
  <c r="F157"/>
  <c r="G157"/>
  <c r="H157"/>
  <c r="I157"/>
  <c r="J157"/>
  <c r="K157"/>
  <c r="L157"/>
  <c r="M157"/>
  <c r="N157"/>
  <c r="O157"/>
  <c r="P157"/>
  <c r="B158"/>
  <c r="C158"/>
  <c r="D158"/>
  <c r="E158"/>
  <c r="F158"/>
  <c r="G158"/>
  <c r="H158"/>
  <c r="I158"/>
  <c r="J158"/>
  <c r="K158"/>
  <c r="L158"/>
  <c r="M158"/>
  <c r="N158"/>
  <c r="O158"/>
  <c r="P158"/>
  <c r="B159"/>
  <c r="C159"/>
  <c r="D159"/>
  <c r="E159"/>
  <c r="F159"/>
  <c r="G159"/>
  <c r="H159"/>
  <c r="I159"/>
  <c r="J159"/>
  <c r="K159"/>
  <c r="L159"/>
  <c r="M159"/>
  <c r="N159"/>
  <c r="O159"/>
  <c r="P159"/>
  <c r="B160"/>
  <c r="C160"/>
  <c r="D160"/>
  <c r="E160"/>
  <c r="F160"/>
  <c r="G160"/>
  <c r="H160"/>
  <c r="I160"/>
  <c r="J160"/>
  <c r="K160"/>
  <c r="L160"/>
  <c r="M160"/>
  <c r="N160"/>
  <c r="O160"/>
  <c r="P160"/>
  <c r="B161"/>
  <c r="C161"/>
  <c r="D161"/>
  <c r="E161"/>
  <c r="F161"/>
  <c r="G161"/>
  <c r="H161"/>
  <c r="I161"/>
  <c r="J161"/>
  <c r="K161"/>
  <c r="L161"/>
  <c r="M161"/>
  <c r="N161"/>
  <c r="O161"/>
  <c r="P161"/>
  <c r="B162"/>
  <c r="C162"/>
  <c r="D162"/>
  <c r="E162"/>
  <c r="F162"/>
  <c r="G162"/>
  <c r="H162"/>
  <c r="I162"/>
  <c r="J162"/>
  <c r="K162"/>
  <c r="L162"/>
  <c r="M162"/>
  <c r="N162"/>
  <c r="O162"/>
  <c r="P162"/>
  <c r="B163"/>
  <c r="C163"/>
  <c r="D163"/>
  <c r="E163"/>
  <c r="F163"/>
  <c r="G163"/>
  <c r="H163"/>
  <c r="I163"/>
  <c r="J163"/>
  <c r="K163"/>
  <c r="L163"/>
  <c r="M163"/>
  <c r="N163"/>
  <c r="O163"/>
  <c r="P163"/>
  <c r="B164"/>
  <c r="C164"/>
  <c r="D164"/>
  <c r="E164"/>
  <c r="F164"/>
  <c r="G164"/>
  <c r="H164"/>
  <c r="I164"/>
  <c r="J164"/>
  <c r="K164"/>
  <c r="L164"/>
  <c r="M164"/>
  <c r="N164"/>
  <c r="O164"/>
  <c r="P164"/>
  <c r="B165"/>
  <c r="C165"/>
  <c r="D165"/>
  <c r="E165"/>
  <c r="F165"/>
  <c r="G165"/>
  <c r="H165"/>
  <c r="I165"/>
  <c r="J165"/>
  <c r="K165"/>
  <c r="L165"/>
  <c r="M165"/>
  <c r="N165"/>
  <c r="O165"/>
  <c r="P165"/>
  <c r="B166"/>
  <c r="C166"/>
  <c r="D166"/>
  <c r="E166"/>
  <c r="F166"/>
  <c r="G166"/>
  <c r="H166"/>
  <c r="I166"/>
  <c r="J166"/>
  <c r="K166"/>
  <c r="L166"/>
  <c r="M166"/>
  <c r="N166"/>
  <c r="O166"/>
  <c r="P166"/>
  <c r="B167"/>
  <c r="C167"/>
  <c r="D167"/>
  <c r="E167"/>
  <c r="F167"/>
  <c r="G167"/>
  <c r="H167"/>
  <c r="I167"/>
  <c r="J167"/>
  <c r="K167"/>
  <c r="L167"/>
  <c r="M167"/>
  <c r="N167"/>
  <c r="O167"/>
  <c r="P167"/>
  <c r="C149"/>
  <c r="D149"/>
  <c r="E149"/>
  <c r="F149"/>
  <c r="G149"/>
  <c r="H149"/>
  <c r="I149"/>
  <c r="J149"/>
  <c r="K149"/>
  <c r="L149"/>
  <c r="M149"/>
  <c r="N149"/>
  <c r="O149"/>
  <c r="P149"/>
  <c r="B149"/>
  <c r="B101"/>
  <c r="A154"/>
  <c r="A152"/>
  <c r="A150"/>
  <c r="A149"/>
  <c r="C98" l="1"/>
  <c r="D98"/>
  <c r="E98"/>
  <c r="F98"/>
  <c r="G98"/>
  <c r="H98"/>
  <c r="I98"/>
  <c r="J98"/>
  <c r="K98"/>
  <c r="L98"/>
  <c r="M98"/>
  <c r="N98"/>
  <c r="O98"/>
  <c r="P98"/>
  <c r="C99"/>
  <c r="D99"/>
  <c r="E99"/>
  <c r="F99"/>
  <c r="G99"/>
  <c r="H99"/>
  <c r="I99"/>
  <c r="J99"/>
  <c r="K99"/>
  <c r="L99"/>
  <c r="M99"/>
  <c r="N99"/>
  <c r="O99"/>
  <c r="P99"/>
  <c r="C100"/>
  <c r="D100"/>
  <c r="E100"/>
  <c r="F100"/>
  <c r="G100"/>
  <c r="H100"/>
  <c r="I100"/>
  <c r="J100"/>
  <c r="K100"/>
  <c r="L100"/>
  <c r="M100"/>
  <c r="N100"/>
  <c r="O100"/>
  <c r="P100"/>
  <c r="C101"/>
  <c r="D101"/>
  <c r="E101"/>
  <c r="F101"/>
  <c r="G101"/>
  <c r="H101"/>
  <c r="I101"/>
  <c r="J101"/>
  <c r="K101"/>
  <c r="L101"/>
  <c r="L124" s="1"/>
  <c r="M101"/>
  <c r="N101"/>
  <c r="O101"/>
  <c r="P101"/>
  <c r="C102"/>
  <c r="D102"/>
  <c r="E102"/>
  <c r="F102"/>
  <c r="G102"/>
  <c r="H102"/>
  <c r="I102"/>
  <c r="I125" s="1"/>
  <c r="J102"/>
  <c r="K102"/>
  <c r="L102"/>
  <c r="M102"/>
  <c r="N102"/>
  <c r="O102"/>
  <c r="P102"/>
  <c r="C103"/>
  <c r="C126" s="1"/>
  <c r="D103"/>
  <c r="E103"/>
  <c r="F103"/>
  <c r="G103"/>
  <c r="H103"/>
  <c r="I103"/>
  <c r="J103"/>
  <c r="J126" s="1"/>
  <c r="K103"/>
  <c r="L103"/>
  <c r="M103"/>
  <c r="N103"/>
  <c r="O103"/>
  <c r="P103"/>
  <c r="C104"/>
  <c r="D104"/>
  <c r="E104"/>
  <c r="F104"/>
  <c r="G104"/>
  <c r="H104"/>
  <c r="I104"/>
  <c r="J104"/>
  <c r="K104"/>
  <c r="L104"/>
  <c r="M104"/>
  <c r="N104"/>
  <c r="O104"/>
  <c r="P104"/>
  <c r="C105"/>
  <c r="D105"/>
  <c r="E105"/>
  <c r="F105"/>
  <c r="G105"/>
  <c r="G128" s="1"/>
  <c r="H105"/>
  <c r="I105"/>
  <c r="J105"/>
  <c r="K105"/>
  <c r="L105"/>
  <c r="M105"/>
  <c r="N105"/>
  <c r="O105"/>
  <c r="P105"/>
  <c r="P129" s="1"/>
  <c r="C106"/>
  <c r="D106"/>
  <c r="E106"/>
  <c r="F106"/>
  <c r="G106"/>
  <c r="H106"/>
  <c r="I106"/>
  <c r="J106"/>
  <c r="K106"/>
  <c r="L106"/>
  <c r="M106"/>
  <c r="N106"/>
  <c r="O106"/>
  <c r="P106"/>
  <c r="C107"/>
  <c r="C130" s="1"/>
  <c r="D107"/>
  <c r="D131" s="1"/>
  <c r="E107"/>
  <c r="E130" s="1"/>
  <c r="F107"/>
  <c r="G107"/>
  <c r="H107"/>
  <c r="I107"/>
  <c r="J107"/>
  <c r="K107"/>
  <c r="L107"/>
  <c r="M107"/>
  <c r="N107"/>
  <c r="O107"/>
  <c r="P107"/>
  <c r="C108"/>
  <c r="D108"/>
  <c r="E108"/>
  <c r="F108"/>
  <c r="G108"/>
  <c r="H108"/>
  <c r="I108"/>
  <c r="J108"/>
  <c r="K108"/>
  <c r="L108"/>
  <c r="M108"/>
  <c r="N108"/>
  <c r="O108"/>
  <c r="P108"/>
  <c r="C109"/>
  <c r="D109"/>
  <c r="E109"/>
  <c r="F109"/>
  <c r="G109"/>
  <c r="H109"/>
  <c r="H133" s="1"/>
  <c r="I109"/>
  <c r="J109"/>
  <c r="K109"/>
  <c r="L109"/>
  <c r="M109"/>
  <c r="N109"/>
  <c r="N132" s="1"/>
  <c r="O109"/>
  <c r="O132" s="1"/>
  <c r="P109"/>
  <c r="P132" s="1"/>
  <c r="C110"/>
  <c r="D110"/>
  <c r="E110"/>
  <c r="F110"/>
  <c r="F133" s="1"/>
  <c r="G110"/>
  <c r="H110"/>
  <c r="I110"/>
  <c r="J110"/>
  <c r="K110"/>
  <c r="L110"/>
  <c r="M110"/>
  <c r="N110"/>
  <c r="N133" s="1"/>
  <c r="O110"/>
  <c r="P110"/>
  <c r="P133" s="1"/>
  <c r="C111"/>
  <c r="C135" s="1"/>
  <c r="D111"/>
  <c r="E111"/>
  <c r="F111"/>
  <c r="G111"/>
  <c r="H111"/>
  <c r="I111"/>
  <c r="J111"/>
  <c r="K111"/>
  <c r="L111"/>
  <c r="L134" s="1"/>
  <c r="M111"/>
  <c r="N111"/>
  <c r="O111"/>
  <c r="P111"/>
  <c r="C112"/>
  <c r="D112"/>
  <c r="D135" s="1"/>
  <c r="E112"/>
  <c r="E135" s="1"/>
  <c r="F112"/>
  <c r="G112"/>
  <c r="H112"/>
  <c r="I112"/>
  <c r="J112"/>
  <c r="J135" s="1"/>
  <c r="K112"/>
  <c r="L112"/>
  <c r="M112"/>
  <c r="N112"/>
  <c r="O112"/>
  <c r="P112"/>
  <c r="C113"/>
  <c r="C136" s="1"/>
  <c r="D113"/>
  <c r="E113"/>
  <c r="F113"/>
  <c r="G113"/>
  <c r="G136" s="1"/>
  <c r="H113"/>
  <c r="I113"/>
  <c r="J113"/>
  <c r="K113"/>
  <c r="L113"/>
  <c r="M113"/>
  <c r="N113"/>
  <c r="O113"/>
  <c r="P113"/>
  <c r="C114"/>
  <c r="D114"/>
  <c r="E114"/>
  <c r="F114"/>
  <c r="G114"/>
  <c r="H114"/>
  <c r="H137" s="1"/>
  <c r="I114"/>
  <c r="J114"/>
  <c r="K114"/>
  <c r="L114"/>
  <c r="M114"/>
  <c r="N114"/>
  <c r="N138" s="1"/>
  <c r="O114"/>
  <c r="P114"/>
  <c r="P137" s="1"/>
  <c r="C115"/>
  <c r="D115"/>
  <c r="D139" s="1"/>
  <c r="E115"/>
  <c r="F115"/>
  <c r="G115"/>
  <c r="H115"/>
  <c r="I115"/>
  <c r="J115"/>
  <c r="K115"/>
  <c r="L115"/>
  <c r="M115"/>
  <c r="N115"/>
  <c r="O115"/>
  <c r="P115"/>
  <c r="C116"/>
  <c r="D116"/>
  <c r="E116"/>
  <c r="E139" s="1"/>
  <c r="F116"/>
  <c r="G116"/>
  <c r="H116"/>
  <c r="I116"/>
  <c r="J116"/>
  <c r="K116"/>
  <c r="L116"/>
  <c r="L139" s="1"/>
  <c r="M116"/>
  <c r="N116"/>
  <c r="N139" s="1"/>
  <c r="O116"/>
  <c r="P116"/>
  <c r="B99"/>
  <c r="B100"/>
  <c r="B102"/>
  <c r="B103"/>
  <c r="B104"/>
  <c r="B105"/>
  <c r="B106"/>
  <c r="B107"/>
  <c r="B130" s="1"/>
  <c r="B108"/>
  <c r="B109"/>
  <c r="B110"/>
  <c r="B111"/>
  <c r="B112"/>
  <c r="B113"/>
  <c r="B114"/>
  <c r="B137" s="1"/>
  <c r="B115"/>
  <c r="B116"/>
  <c r="B98"/>
  <c r="P130"/>
  <c r="B131"/>
  <c r="B132"/>
  <c r="E137"/>
  <c r="J137"/>
  <c r="A127"/>
  <c r="A125"/>
  <c r="A123"/>
  <c r="A122"/>
  <c r="K124"/>
  <c r="H126"/>
  <c r="P126"/>
  <c r="G127"/>
  <c r="O127"/>
  <c r="K128"/>
  <c r="M129"/>
  <c r="O131"/>
  <c r="C132"/>
  <c r="G134"/>
  <c r="K134"/>
  <c r="M134"/>
  <c r="I136"/>
  <c r="K136"/>
  <c r="O136"/>
  <c r="C137"/>
  <c r="B133"/>
  <c r="A103"/>
  <c r="A101"/>
  <c r="A99"/>
  <c r="A98"/>
  <c r="A49"/>
  <c r="A77"/>
  <c r="A75"/>
  <c r="A73"/>
  <c r="A72"/>
  <c r="B72"/>
  <c r="C72"/>
  <c r="D72"/>
  <c r="E72"/>
  <c r="F72"/>
  <c r="G72"/>
  <c r="H72"/>
  <c r="I72"/>
  <c r="J72"/>
  <c r="K72"/>
  <c r="L72"/>
  <c r="M72"/>
  <c r="N72"/>
  <c r="O72"/>
  <c r="P72"/>
  <c r="B73"/>
  <c r="C73"/>
  <c r="D73"/>
  <c r="E73"/>
  <c r="F73"/>
  <c r="G73"/>
  <c r="H73"/>
  <c r="I73"/>
  <c r="J73"/>
  <c r="K73"/>
  <c r="L73"/>
  <c r="M73"/>
  <c r="N73"/>
  <c r="O73"/>
  <c r="P73"/>
  <c r="B74"/>
  <c r="C74"/>
  <c r="D74"/>
  <c r="E74"/>
  <c r="F74"/>
  <c r="G74"/>
  <c r="H74"/>
  <c r="I74"/>
  <c r="J74"/>
  <c r="K74"/>
  <c r="L74"/>
  <c r="M74"/>
  <c r="N74"/>
  <c r="O74"/>
  <c r="P74"/>
  <c r="B75"/>
  <c r="C75"/>
  <c r="D75"/>
  <c r="E75"/>
  <c r="F75"/>
  <c r="G75"/>
  <c r="H75"/>
  <c r="I75"/>
  <c r="J75"/>
  <c r="K75"/>
  <c r="L75"/>
  <c r="M75"/>
  <c r="N75"/>
  <c r="O75"/>
  <c r="P75"/>
  <c r="B76"/>
  <c r="C76"/>
  <c r="D76"/>
  <c r="E76"/>
  <c r="F76"/>
  <c r="G76"/>
  <c r="H76"/>
  <c r="I76"/>
  <c r="J76"/>
  <c r="K76"/>
  <c r="L76"/>
  <c r="M76"/>
  <c r="N76"/>
  <c r="O76"/>
  <c r="P76"/>
  <c r="B77"/>
  <c r="C77"/>
  <c r="D77"/>
  <c r="E77"/>
  <c r="F77"/>
  <c r="G77"/>
  <c r="H77"/>
  <c r="I77"/>
  <c r="J77"/>
  <c r="K77"/>
  <c r="L77"/>
  <c r="M77"/>
  <c r="N77"/>
  <c r="O77"/>
  <c r="P77"/>
  <c r="B78"/>
  <c r="C78"/>
  <c r="D78"/>
  <c r="E78"/>
  <c r="F78"/>
  <c r="G78"/>
  <c r="H78"/>
  <c r="I78"/>
  <c r="J78"/>
  <c r="K78"/>
  <c r="L78"/>
  <c r="M78"/>
  <c r="N78"/>
  <c r="O78"/>
  <c r="P78"/>
  <c r="B79"/>
  <c r="C79"/>
  <c r="D79"/>
  <c r="E79"/>
  <c r="F79"/>
  <c r="G79"/>
  <c r="H79"/>
  <c r="I79"/>
  <c r="J79"/>
  <c r="K79"/>
  <c r="L79"/>
  <c r="M79"/>
  <c r="N79"/>
  <c r="O79"/>
  <c r="P79"/>
  <c r="B80"/>
  <c r="C80"/>
  <c r="D80"/>
  <c r="E80"/>
  <c r="F80"/>
  <c r="G80"/>
  <c r="H80"/>
  <c r="I80"/>
  <c r="J80"/>
  <c r="K80"/>
  <c r="L80"/>
  <c r="M80"/>
  <c r="N80"/>
  <c r="O80"/>
  <c r="P80"/>
  <c r="B81"/>
  <c r="C81"/>
  <c r="D81"/>
  <c r="E81"/>
  <c r="F81"/>
  <c r="G81"/>
  <c r="H81"/>
  <c r="I81"/>
  <c r="J81"/>
  <c r="K81"/>
  <c r="L81"/>
  <c r="M81"/>
  <c r="N81"/>
  <c r="O81"/>
  <c r="P81"/>
  <c r="B82"/>
  <c r="C82"/>
  <c r="D82"/>
  <c r="E82"/>
  <c r="F82"/>
  <c r="G82"/>
  <c r="H82"/>
  <c r="I82"/>
  <c r="J82"/>
  <c r="K82"/>
  <c r="L82"/>
  <c r="M82"/>
  <c r="N82"/>
  <c r="O82"/>
  <c r="P82"/>
  <c r="B83"/>
  <c r="C83"/>
  <c r="D83"/>
  <c r="E83"/>
  <c r="F83"/>
  <c r="G83"/>
  <c r="H83"/>
  <c r="I83"/>
  <c r="J83"/>
  <c r="K83"/>
  <c r="L83"/>
  <c r="M83"/>
  <c r="N83"/>
  <c r="O83"/>
  <c r="P83"/>
  <c r="B84"/>
  <c r="C84"/>
  <c r="D84"/>
  <c r="E84"/>
  <c r="F84"/>
  <c r="G84"/>
  <c r="H84"/>
  <c r="I84"/>
  <c r="J84"/>
  <c r="K84"/>
  <c r="L84"/>
  <c r="M84"/>
  <c r="N84"/>
  <c r="O84"/>
  <c r="P84"/>
  <c r="B85"/>
  <c r="C85"/>
  <c r="D85"/>
  <c r="E85"/>
  <c r="F85"/>
  <c r="G85"/>
  <c r="H85"/>
  <c r="I85"/>
  <c r="J85"/>
  <c r="K85"/>
  <c r="L85"/>
  <c r="M85"/>
  <c r="N85"/>
  <c r="O85"/>
  <c r="P85"/>
  <c r="B86"/>
  <c r="C86"/>
  <c r="D86"/>
  <c r="E86"/>
  <c r="F86"/>
  <c r="G86"/>
  <c r="H86"/>
  <c r="I86"/>
  <c r="J86"/>
  <c r="K86"/>
  <c r="L86"/>
  <c r="M86"/>
  <c r="N86"/>
  <c r="O86"/>
  <c r="P86"/>
  <c r="B87"/>
  <c r="C87"/>
  <c r="D87"/>
  <c r="E87"/>
  <c r="F87"/>
  <c r="G87"/>
  <c r="H87"/>
  <c r="I87"/>
  <c r="J87"/>
  <c r="K87"/>
  <c r="L87"/>
  <c r="M87"/>
  <c r="N87"/>
  <c r="O87"/>
  <c r="P87"/>
  <c r="B88"/>
  <c r="C88"/>
  <c r="D88"/>
  <c r="E88"/>
  <c r="F88"/>
  <c r="G88"/>
  <c r="H88"/>
  <c r="I88"/>
  <c r="J88"/>
  <c r="K88"/>
  <c r="L88"/>
  <c r="M88"/>
  <c r="N88"/>
  <c r="O88"/>
  <c r="P88"/>
  <c r="B89"/>
  <c r="C89"/>
  <c r="D89"/>
  <c r="E89"/>
  <c r="F89"/>
  <c r="G89"/>
  <c r="H89"/>
  <c r="I89"/>
  <c r="J89"/>
  <c r="K89"/>
  <c r="L89"/>
  <c r="M89"/>
  <c r="N89"/>
  <c r="O89"/>
  <c r="P89"/>
  <c r="B90"/>
  <c r="C90"/>
  <c r="D90"/>
  <c r="E90"/>
  <c r="F90"/>
  <c r="G90"/>
  <c r="H90"/>
  <c r="I90"/>
  <c r="J90"/>
  <c r="K90"/>
  <c r="L90"/>
  <c r="M90"/>
  <c r="N90"/>
  <c r="O90"/>
  <c r="P90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139" s="1"/>
  <c r="C49"/>
  <c r="D49"/>
  <c r="E49"/>
  <c r="F49"/>
  <c r="G49"/>
  <c r="H49"/>
  <c r="I49"/>
  <c r="J49"/>
  <c r="K49"/>
  <c r="L49"/>
  <c r="M49"/>
  <c r="N49"/>
  <c r="O49"/>
  <c r="C50"/>
  <c r="D50"/>
  <c r="E50"/>
  <c r="F50"/>
  <c r="G50"/>
  <c r="H50"/>
  <c r="I50"/>
  <c r="J50"/>
  <c r="K50"/>
  <c r="L50"/>
  <c r="M50"/>
  <c r="N50"/>
  <c r="O50"/>
  <c r="C51"/>
  <c r="D51"/>
  <c r="E51"/>
  <c r="F51"/>
  <c r="G51"/>
  <c r="H51"/>
  <c r="I51"/>
  <c r="J51"/>
  <c r="K51"/>
  <c r="L51"/>
  <c r="M51"/>
  <c r="N51"/>
  <c r="O51"/>
  <c r="C52"/>
  <c r="C124" s="1"/>
  <c r="D52"/>
  <c r="D124" s="1"/>
  <c r="E52"/>
  <c r="F52"/>
  <c r="G52"/>
  <c r="H52"/>
  <c r="I52"/>
  <c r="J52"/>
  <c r="K52"/>
  <c r="L52"/>
  <c r="M52"/>
  <c r="N52"/>
  <c r="O52"/>
  <c r="C53"/>
  <c r="D53"/>
  <c r="E53"/>
  <c r="F53"/>
  <c r="F125" s="1"/>
  <c r="G53"/>
  <c r="G125" s="1"/>
  <c r="H53"/>
  <c r="I53"/>
  <c r="J53"/>
  <c r="K53"/>
  <c r="K125" s="1"/>
  <c r="L53"/>
  <c r="M53"/>
  <c r="N53"/>
  <c r="N125" s="1"/>
  <c r="O53"/>
  <c r="O125" s="1"/>
  <c r="C54"/>
  <c r="D54"/>
  <c r="E54"/>
  <c r="F54"/>
  <c r="G54"/>
  <c r="G126" s="1"/>
  <c r="H54"/>
  <c r="I54"/>
  <c r="J54"/>
  <c r="K54"/>
  <c r="L54"/>
  <c r="M54"/>
  <c r="N54"/>
  <c r="O54"/>
  <c r="O126" s="1"/>
  <c r="C55"/>
  <c r="D55"/>
  <c r="E55"/>
  <c r="F55"/>
  <c r="G55"/>
  <c r="H55"/>
  <c r="I55"/>
  <c r="J55"/>
  <c r="K55"/>
  <c r="L55"/>
  <c r="M55"/>
  <c r="N55"/>
  <c r="O55"/>
  <c r="C56"/>
  <c r="D56"/>
  <c r="E56"/>
  <c r="F56"/>
  <c r="G56"/>
  <c r="H56"/>
  <c r="I56"/>
  <c r="J56"/>
  <c r="K56"/>
  <c r="L56"/>
  <c r="M56"/>
  <c r="N56"/>
  <c r="O56"/>
  <c r="O128" s="1"/>
  <c r="C57"/>
  <c r="C129" s="1"/>
  <c r="D57"/>
  <c r="E57"/>
  <c r="F57"/>
  <c r="G57"/>
  <c r="H57"/>
  <c r="I57"/>
  <c r="J57"/>
  <c r="K57"/>
  <c r="K129" s="1"/>
  <c r="L57"/>
  <c r="M57"/>
  <c r="N57"/>
  <c r="O57"/>
  <c r="C58"/>
  <c r="D58"/>
  <c r="E58"/>
  <c r="F58"/>
  <c r="F130" s="1"/>
  <c r="G58"/>
  <c r="H58"/>
  <c r="I58"/>
  <c r="J58"/>
  <c r="K58"/>
  <c r="L58"/>
  <c r="M58"/>
  <c r="M130" s="1"/>
  <c r="N58"/>
  <c r="N130" s="1"/>
  <c r="O58"/>
  <c r="C59"/>
  <c r="D59"/>
  <c r="E59"/>
  <c r="F59"/>
  <c r="G59"/>
  <c r="G131" s="1"/>
  <c r="H59"/>
  <c r="I59"/>
  <c r="I131" s="1"/>
  <c r="J59"/>
  <c r="K59"/>
  <c r="L59"/>
  <c r="M59"/>
  <c r="N59"/>
  <c r="O59"/>
  <c r="C60"/>
  <c r="D60"/>
  <c r="D132" s="1"/>
  <c r="E60"/>
  <c r="F60"/>
  <c r="G60"/>
  <c r="H60"/>
  <c r="I60"/>
  <c r="I132" s="1"/>
  <c r="J60"/>
  <c r="K60"/>
  <c r="K132" s="1"/>
  <c r="L60"/>
  <c r="L132" s="1"/>
  <c r="M60"/>
  <c r="N60"/>
  <c r="O60"/>
  <c r="C61"/>
  <c r="C133" s="1"/>
  <c r="D61"/>
  <c r="E61"/>
  <c r="F61"/>
  <c r="G61"/>
  <c r="G133" s="1"/>
  <c r="H61"/>
  <c r="I61"/>
  <c r="J61"/>
  <c r="K61"/>
  <c r="L61"/>
  <c r="M61"/>
  <c r="N61"/>
  <c r="O61"/>
  <c r="C62"/>
  <c r="D62"/>
  <c r="E62"/>
  <c r="F62"/>
  <c r="F134" s="1"/>
  <c r="G62"/>
  <c r="H62"/>
  <c r="I62"/>
  <c r="J62"/>
  <c r="J134" s="1"/>
  <c r="K62"/>
  <c r="L62"/>
  <c r="M62"/>
  <c r="N62"/>
  <c r="N134" s="1"/>
  <c r="O62"/>
  <c r="C63"/>
  <c r="D63"/>
  <c r="E63"/>
  <c r="F63"/>
  <c r="G63"/>
  <c r="H63"/>
  <c r="I63"/>
  <c r="I135" s="1"/>
  <c r="J63"/>
  <c r="K63"/>
  <c r="L63"/>
  <c r="M63"/>
  <c r="N63"/>
  <c r="O63"/>
  <c r="C64"/>
  <c r="D64"/>
  <c r="D136" s="1"/>
  <c r="E64"/>
  <c r="F64"/>
  <c r="G64"/>
  <c r="H64"/>
  <c r="H136" s="1"/>
  <c r="I64"/>
  <c r="J64"/>
  <c r="K64"/>
  <c r="L64"/>
  <c r="L136" s="1"/>
  <c r="M64"/>
  <c r="N64"/>
  <c r="O64"/>
  <c r="C65"/>
  <c r="D65"/>
  <c r="E65"/>
  <c r="F65"/>
  <c r="G65"/>
  <c r="H65"/>
  <c r="I65"/>
  <c r="J65"/>
  <c r="K65"/>
  <c r="K137" s="1"/>
  <c r="L65"/>
  <c r="M65"/>
  <c r="N65"/>
  <c r="O65"/>
  <c r="C66"/>
  <c r="D66"/>
  <c r="E66"/>
  <c r="F66"/>
  <c r="F138" s="1"/>
  <c r="G66"/>
  <c r="H66"/>
  <c r="I66"/>
  <c r="J66"/>
  <c r="K66"/>
  <c r="L66"/>
  <c r="M66"/>
  <c r="N66"/>
  <c r="O66"/>
  <c r="C67"/>
  <c r="D67"/>
  <c r="E67"/>
  <c r="F67"/>
  <c r="G67"/>
  <c r="H67"/>
  <c r="I67"/>
  <c r="I139" s="1"/>
  <c r="J67"/>
  <c r="K67"/>
  <c r="L67"/>
  <c r="M67"/>
  <c r="N67"/>
  <c r="O67"/>
  <c r="O139" s="1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139" s="1"/>
  <c r="B49"/>
  <c r="A54"/>
  <c r="A52"/>
  <c r="A50"/>
  <c r="M122" s="1"/>
  <c r="F136" l="1"/>
  <c r="F139"/>
  <c r="C138"/>
  <c r="E136"/>
  <c r="O134"/>
  <c r="N131"/>
  <c r="F131"/>
  <c r="H129"/>
  <c r="J127"/>
  <c r="O137"/>
  <c r="E131"/>
  <c r="L135"/>
  <c r="J133"/>
  <c r="J129"/>
  <c r="G137"/>
  <c r="O129"/>
  <c r="P128"/>
  <c r="M139"/>
  <c r="H132"/>
  <c r="J130"/>
  <c r="P136"/>
  <c r="L137"/>
  <c r="N135"/>
  <c r="F135"/>
  <c r="M132"/>
  <c r="E132"/>
  <c r="L129"/>
  <c r="D129"/>
  <c r="B138"/>
  <c r="B135"/>
  <c r="B127"/>
  <c r="B134"/>
  <c r="I127"/>
  <c r="M123"/>
  <c r="D137"/>
  <c r="J123"/>
  <c r="M135"/>
  <c r="B123"/>
  <c r="J131"/>
  <c r="J132"/>
  <c r="I137"/>
  <c r="I138"/>
  <c r="N136"/>
  <c r="K135"/>
  <c r="H134"/>
  <c r="E133"/>
  <c r="E134"/>
  <c r="I129"/>
  <c r="I130"/>
  <c r="B126"/>
  <c r="O138"/>
  <c r="F129"/>
  <c r="O122"/>
  <c r="L133"/>
  <c r="B136"/>
  <c r="B128"/>
  <c r="K138"/>
  <c r="M136"/>
  <c r="D133"/>
  <c r="D134"/>
  <c r="M128"/>
  <c r="E128"/>
  <c r="L125"/>
  <c r="D125"/>
  <c r="I124"/>
  <c r="N123"/>
  <c r="M138"/>
  <c r="E129"/>
  <c r="P138"/>
  <c r="I123"/>
  <c r="F128"/>
  <c r="D122"/>
  <c r="F122"/>
  <c r="N122"/>
  <c r="I122"/>
  <c r="C122"/>
  <c r="P122"/>
  <c r="B122"/>
  <c r="H122"/>
  <c r="E122"/>
  <c r="G122"/>
  <c r="J122"/>
  <c r="K122"/>
  <c r="J138"/>
  <c r="J139"/>
  <c r="K133"/>
  <c r="M131"/>
  <c r="G129"/>
  <c r="L128"/>
  <c r="D128"/>
  <c r="C125"/>
  <c r="H138"/>
  <c r="G132"/>
  <c r="K130"/>
  <c r="N128"/>
  <c r="O123"/>
  <c r="G138"/>
  <c r="H135"/>
  <c r="M137"/>
  <c r="O135"/>
  <c r="G135"/>
  <c r="I133"/>
  <c r="I134"/>
  <c r="F132"/>
  <c r="H130"/>
  <c r="N124"/>
  <c r="P134"/>
  <c r="P135"/>
  <c r="G139"/>
  <c r="E138"/>
  <c r="M133"/>
  <c r="L123"/>
  <c r="H124"/>
  <c r="H127"/>
  <c r="P127"/>
  <c r="F137"/>
  <c r="O130"/>
  <c r="H125"/>
  <c r="D126"/>
  <c r="L126"/>
  <c r="F126"/>
  <c r="N126"/>
  <c r="I126"/>
  <c r="K139"/>
  <c r="C139"/>
  <c r="J136"/>
  <c r="K131"/>
  <c r="C131"/>
  <c r="J128"/>
  <c r="K123"/>
  <c r="C123"/>
  <c r="L131"/>
  <c r="N129"/>
  <c r="C128"/>
  <c r="E126"/>
  <c r="G124"/>
  <c r="H128"/>
  <c r="N137"/>
  <c r="P125"/>
  <c r="H139"/>
  <c r="H131"/>
  <c r="H123"/>
  <c r="P131"/>
  <c r="C134"/>
  <c r="M126"/>
  <c r="O124"/>
  <c r="F124"/>
  <c r="G123"/>
  <c r="C127"/>
  <c r="O133"/>
  <c r="B129"/>
  <c r="L138"/>
  <c r="D138"/>
  <c r="L130"/>
  <c r="D130"/>
  <c r="G130"/>
  <c r="I128"/>
  <c r="B124"/>
  <c r="M124"/>
  <c r="E124"/>
  <c r="J124"/>
  <c r="P124"/>
  <c r="D123" l="1"/>
  <c r="E123"/>
  <c r="L122"/>
  <c r="E125"/>
  <c r="F123"/>
  <c r="M125"/>
  <c r="J125"/>
  <c r="E127"/>
  <c r="B125"/>
  <c r="N127"/>
  <c r="K126"/>
  <c r="K127"/>
  <c r="F127"/>
  <c r="D127"/>
  <c r="M127"/>
  <c r="P123"/>
  <c r="L127"/>
</calcChain>
</file>

<file path=xl/sharedStrings.xml><?xml version="1.0" encoding="utf-8"?>
<sst xmlns="http://schemas.openxmlformats.org/spreadsheetml/2006/main" count="105" uniqueCount="31">
  <si>
    <t>Expiry</t>
  </si>
  <si>
    <t>1Yr</t>
  </si>
  <si>
    <t>2Yr</t>
  </si>
  <si>
    <t>3Yr</t>
  </si>
  <si>
    <t>4Yr</t>
  </si>
  <si>
    <t>5Yr</t>
  </si>
  <si>
    <t>6Yr</t>
  </si>
  <si>
    <t>7Yr</t>
  </si>
  <si>
    <t>8Yr</t>
  </si>
  <si>
    <t>9Yr</t>
  </si>
  <si>
    <t>10Yr</t>
  </si>
  <si>
    <t>12Yr</t>
  </si>
  <si>
    <t>15Yr</t>
  </si>
  <si>
    <t>20Yr</t>
  </si>
  <si>
    <t>25Yr</t>
  </si>
  <si>
    <t>30Yr</t>
  </si>
  <si>
    <t>1Mo</t>
  </si>
  <si>
    <t>3Mo</t>
  </si>
  <si>
    <t>6Mo</t>
  </si>
  <si>
    <t>9Mo</t>
  </si>
  <si>
    <t>eur</t>
  </si>
  <si>
    <t>mid</t>
  </si>
  <si>
    <t>SwaptionVol</t>
  </si>
  <si>
    <t>ATM</t>
  </si>
  <si>
    <t>Vol</t>
  </si>
  <si>
    <t>Strike</t>
  </si>
  <si>
    <t>#######</t>
  </si>
  <si>
    <t>Square Vol analysis</t>
  </si>
  <si>
    <t>Increment of Variance</t>
  </si>
  <si>
    <t>T_i*VolSquare(T_i)*swaprateSquare(0)</t>
  </si>
  <si>
    <t>T_i*VolSquare(T_i)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</si>
</sst>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view3D>
      <c:rotX val="20"/>
      <c:rotY val="30"/>
      <c:perspective val="30"/>
    </c:view3D>
    <c:plotArea>
      <c:layout/>
      <c:area3DChart>
        <c:grouping val="standard"/>
        <c:ser>
          <c:idx val="0"/>
          <c:order val="0"/>
          <c:val>
            <c:numRef>
              <c:f>Feuil1!$B$72:$B$90</c:f>
              <c:numCache>
                <c:formatCode>General</c:formatCode>
                <c:ptCount val="19"/>
                <c:pt idx="0">
                  <c:v>2.8999999999999998E-3</c:v>
                </c:pt>
                <c:pt idx="1">
                  <c:v>2.8999999999999998E-3</c:v>
                </c:pt>
                <c:pt idx="2">
                  <c:v>3.0000000000000001E-3</c:v>
                </c:pt>
                <c:pt idx="3">
                  <c:v>3.2000000000000002E-3</c:v>
                </c:pt>
                <c:pt idx="4">
                  <c:v>3.4000000000000002E-3</c:v>
                </c:pt>
                <c:pt idx="5">
                  <c:v>4.8999999999999998E-3</c:v>
                </c:pt>
                <c:pt idx="6">
                  <c:v>7.4000000000000003E-3</c:v>
                </c:pt>
                <c:pt idx="7">
                  <c:v>1.0500000000000001E-2</c:v>
                </c:pt>
                <c:pt idx="8">
                  <c:v>1.41E-2</c:v>
                </c:pt>
                <c:pt idx="9">
                  <c:v>1.7500000000000002E-2</c:v>
                </c:pt>
                <c:pt idx="10">
                  <c:v>2.06E-2</c:v>
                </c:pt>
                <c:pt idx="11">
                  <c:v>2.29E-2</c:v>
                </c:pt>
                <c:pt idx="12">
                  <c:v>2.4500000000000001E-2</c:v>
                </c:pt>
                <c:pt idx="13">
                  <c:v>2.58E-2</c:v>
                </c:pt>
                <c:pt idx="14">
                  <c:v>2.5600000000000001E-2</c:v>
                </c:pt>
                <c:pt idx="15">
                  <c:v>2.4399999999999998E-2</c:v>
                </c:pt>
                <c:pt idx="16">
                  <c:v>2.2599999999999999E-2</c:v>
                </c:pt>
                <c:pt idx="17">
                  <c:v>2.0899999999999998E-2</c:v>
                </c:pt>
                <c:pt idx="18">
                  <c:v>2.1400000000000002E-2</c:v>
                </c:pt>
              </c:numCache>
            </c:numRef>
          </c:val>
        </c:ser>
        <c:ser>
          <c:idx val="1"/>
          <c:order val="1"/>
          <c:val>
            <c:numRef>
              <c:f>Feuil1!$C$72:$C$90</c:f>
              <c:numCache>
                <c:formatCode>General</c:formatCode>
                <c:ptCount val="19"/>
                <c:pt idx="0">
                  <c:v>3.2000000000000002E-3</c:v>
                </c:pt>
                <c:pt idx="1">
                  <c:v>3.4000000000000002E-3</c:v>
                </c:pt>
                <c:pt idx="2">
                  <c:v>3.5999999999999999E-3</c:v>
                </c:pt>
                <c:pt idx="3">
                  <c:v>3.9000000000000003E-3</c:v>
                </c:pt>
                <c:pt idx="4">
                  <c:v>4.1999999999999997E-3</c:v>
                </c:pt>
                <c:pt idx="5">
                  <c:v>6.1999999999999998E-3</c:v>
                </c:pt>
                <c:pt idx="6">
                  <c:v>8.8999999999999999E-3</c:v>
                </c:pt>
                <c:pt idx="7">
                  <c:v>1.23E-2</c:v>
                </c:pt>
                <c:pt idx="8">
                  <c:v>1.5800000000000002E-2</c:v>
                </c:pt>
                <c:pt idx="9">
                  <c:v>1.9E-2</c:v>
                </c:pt>
                <c:pt idx="10">
                  <c:v>2.1700000000000001E-2</c:v>
                </c:pt>
                <c:pt idx="11">
                  <c:v>2.3700000000000002E-2</c:v>
                </c:pt>
                <c:pt idx="12">
                  <c:v>2.5099999999999997E-2</c:v>
                </c:pt>
                <c:pt idx="13">
                  <c:v>2.6000000000000002E-2</c:v>
                </c:pt>
                <c:pt idx="14">
                  <c:v>2.6200000000000001E-2</c:v>
                </c:pt>
                <c:pt idx="15">
                  <c:v>2.4700000000000003E-2</c:v>
                </c:pt>
                <c:pt idx="16">
                  <c:v>2.2599999999999999E-2</c:v>
                </c:pt>
                <c:pt idx="17">
                  <c:v>2.0899999999999998E-2</c:v>
                </c:pt>
                <c:pt idx="18">
                  <c:v>2.1400000000000002E-2</c:v>
                </c:pt>
              </c:numCache>
            </c:numRef>
          </c:val>
        </c:ser>
        <c:ser>
          <c:idx val="2"/>
          <c:order val="2"/>
          <c:val>
            <c:numRef>
              <c:f>Feuil1!$D$72:$D$90</c:f>
              <c:numCache>
                <c:formatCode>General</c:formatCode>
                <c:ptCount val="19"/>
                <c:pt idx="0">
                  <c:v>3.8E-3</c:v>
                </c:pt>
                <c:pt idx="1">
                  <c:v>4.0999999999999995E-3</c:v>
                </c:pt>
                <c:pt idx="2">
                  <c:v>4.4000000000000003E-3</c:v>
                </c:pt>
                <c:pt idx="3">
                  <c:v>4.7999999999999996E-3</c:v>
                </c:pt>
                <c:pt idx="4">
                  <c:v>5.3E-3</c:v>
                </c:pt>
                <c:pt idx="5">
                  <c:v>7.6E-3</c:v>
                </c:pt>
                <c:pt idx="6">
                  <c:v>1.06E-2</c:v>
                </c:pt>
                <c:pt idx="7">
                  <c:v>1.3999999999999999E-2</c:v>
                </c:pt>
                <c:pt idx="8">
                  <c:v>1.7399999999999999E-2</c:v>
                </c:pt>
                <c:pt idx="9">
                  <c:v>2.0299999999999999E-2</c:v>
                </c:pt>
                <c:pt idx="10">
                  <c:v>2.2700000000000001E-2</c:v>
                </c:pt>
                <c:pt idx="11">
                  <c:v>2.4399999999999998E-2</c:v>
                </c:pt>
                <c:pt idx="12">
                  <c:v>2.5499999999999998E-2</c:v>
                </c:pt>
                <c:pt idx="13">
                  <c:v>2.5899999999999999E-2</c:v>
                </c:pt>
                <c:pt idx="14">
                  <c:v>2.6699999999999998E-2</c:v>
                </c:pt>
                <c:pt idx="15">
                  <c:v>2.4900000000000002E-2</c:v>
                </c:pt>
                <c:pt idx="16">
                  <c:v>2.2700000000000001E-2</c:v>
                </c:pt>
                <c:pt idx="17">
                  <c:v>2.0799999999999999E-2</c:v>
                </c:pt>
                <c:pt idx="18">
                  <c:v>2.1400000000000002E-2</c:v>
                </c:pt>
              </c:numCache>
            </c:numRef>
          </c:val>
        </c:ser>
        <c:ser>
          <c:idx val="3"/>
          <c:order val="3"/>
          <c:val>
            <c:numRef>
              <c:f>Feuil1!$E$72:$E$90</c:f>
              <c:numCache>
                <c:formatCode>General</c:formatCode>
                <c:ptCount val="19"/>
                <c:pt idx="0">
                  <c:v>4.7999999999999996E-3</c:v>
                </c:pt>
                <c:pt idx="1">
                  <c:v>5.1000000000000004E-3</c:v>
                </c:pt>
                <c:pt idx="2">
                  <c:v>5.5000000000000005E-3</c:v>
                </c:pt>
                <c:pt idx="3">
                  <c:v>6.0000000000000001E-3</c:v>
                </c:pt>
                <c:pt idx="4">
                  <c:v>6.5000000000000006E-3</c:v>
                </c:pt>
                <c:pt idx="5">
                  <c:v>9.1999999999999998E-3</c:v>
                </c:pt>
                <c:pt idx="6">
                  <c:v>1.23E-2</c:v>
                </c:pt>
                <c:pt idx="7">
                  <c:v>1.5600000000000001E-2</c:v>
                </c:pt>
                <c:pt idx="8">
                  <c:v>1.8700000000000001E-2</c:v>
                </c:pt>
                <c:pt idx="9">
                  <c:v>2.1299999999999999E-2</c:v>
                </c:pt>
                <c:pt idx="10">
                  <c:v>2.3399999999999997E-2</c:v>
                </c:pt>
                <c:pt idx="11">
                  <c:v>2.4799999999999999E-2</c:v>
                </c:pt>
                <c:pt idx="12">
                  <c:v>2.5499999999999998E-2</c:v>
                </c:pt>
                <c:pt idx="13">
                  <c:v>2.6099999999999998E-2</c:v>
                </c:pt>
                <c:pt idx="14">
                  <c:v>2.6099999999999998E-2</c:v>
                </c:pt>
                <c:pt idx="15">
                  <c:v>2.52E-2</c:v>
                </c:pt>
                <c:pt idx="16">
                  <c:v>2.2700000000000001E-2</c:v>
                </c:pt>
                <c:pt idx="17">
                  <c:v>2.0799999999999999E-2</c:v>
                </c:pt>
                <c:pt idx="18">
                  <c:v>2.1400000000000002E-2</c:v>
                </c:pt>
              </c:numCache>
            </c:numRef>
          </c:val>
        </c:ser>
        <c:ser>
          <c:idx val="4"/>
          <c:order val="4"/>
          <c:val>
            <c:numRef>
              <c:f>Feuil1!$F$72:$F$90</c:f>
              <c:numCache>
                <c:formatCode>General</c:formatCode>
                <c:ptCount val="19"/>
                <c:pt idx="0">
                  <c:v>6.0000000000000001E-3</c:v>
                </c:pt>
                <c:pt idx="1">
                  <c:v>6.3E-3</c:v>
                </c:pt>
                <c:pt idx="2">
                  <c:v>6.8999999999999999E-3</c:v>
                </c:pt>
                <c:pt idx="3">
                  <c:v>7.4000000000000003E-3</c:v>
                </c:pt>
                <c:pt idx="4">
                  <c:v>8.0000000000000002E-3</c:v>
                </c:pt>
                <c:pt idx="5">
                  <c:v>1.0800000000000001E-2</c:v>
                </c:pt>
                <c:pt idx="6">
                  <c:v>1.3899999999999999E-2</c:v>
                </c:pt>
                <c:pt idx="7">
                  <c:v>1.7000000000000001E-2</c:v>
                </c:pt>
                <c:pt idx="8">
                  <c:v>1.9799999999999998E-2</c:v>
                </c:pt>
                <c:pt idx="9">
                  <c:v>2.2200000000000001E-2</c:v>
                </c:pt>
                <c:pt idx="10">
                  <c:v>2.3900000000000001E-2</c:v>
                </c:pt>
                <c:pt idx="11">
                  <c:v>2.5000000000000001E-2</c:v>
                </c:pt>
                <c:pt idx="12">
                  <c:v>2.58E-2</c:v>
                </c:pt>
                <c:pt idx="13">
                  <c:v>2.64E-2</c:v>
                </c:pt>
                <c:pt idx="14">
                  <c:v>2.5899999999999999E-2</c:v>
                </c:pt>
                <c:pt idx="15">
                  <c:v>2.5399999999999999E-2</c:v>
                </c:pt>
                <c:pt idx="16">
                  <c:v>2.2700000000000001E-2</c:v>
                </c:pt>
                <c:pt idx="17">
                  <c:v>2.0799999999999999E-2</c:v>
                </c:pt>
                <c:pt idx="18">
                  <c:v>2.1299999999999999E-2</c:v>
                </c:pt>
              </c:numCache>
            </c:numRef>
          </c:val>
        </c:ser>
        <c:ser>
          <c:idx val="5"/>
          <c:order val="5"/>
          <c:val>
            <c:numRef>
              <c:f>Feuil1!$G$72:$G$90</c:f>
              <c:numCache>
                <c:formatCode>General</c:formatCode>
                <c:ptCount val="19"/>
                <c:pt idx="0">
                  <c:v>7.3000000000000001E-3</c:v>
                </c:pt>
                <c:pt idx="1">
                  <c:v>7.7000000000000002E-3</c:v>
                </c:pt>
                <c:pt idx="2">
                  <c:v>8.3000000000000001E-3</c:v>
                </c:pt>
                <c:pt idx="3">
                  <c:v>8.8999999999999999E-3</c:v>
                </c:pt>
                <c:pt idx="4">
                  <c:v>9.5999999999999992E-3</c:v>
                </c:pt>
                <c:pt idx="5">
                  <c:v>1.24E-2</c:v>
                </c:pt>
                <c:pt idx="6">
                  <c:v>1.5300000000000001E-2</c:v>
                </c:pt>
                <c:pt idx="7">
                  <c:v>1.8200000000000001E-2</c:v>
                </c:pt>
                <c:pt idx="8">
                  <c:v>2.07E-2</c:v>
                </c:pt>
                <c:pt idx="9">
                  <c:v>2.2799999999999997E-2</c:v>
                </c:pt>
                <c:pt idx="10">
                  <c:v>2.4199999999999999E-2</c:v>
                </c:pt>
                <c:pt idx="11">
                  <c:v>2.52E-2</c:v>
                </c:pt>
                <c:pt idx="12">
                  <c:v>2.6099999999999998E-2</c:v>
                </c:pt>
                <c:pt idx="13">
                  <c:v>2.6099999999999998E-2</c:v>
                </c:pt>
                <c:pt idx="14">
                  <c:v>2.58E-2</c:v>
                </c:pt>
                <c:pt idx="15">
                  <c:v>2.4900000000000002E-2</c:v>
                </c:pt>
                <c:pt idx="16">
                  <c:v>2.2499999999999999E-2</c:v>
                </c:pt>
                <c:pt idx="17">
                  <c:v>2.0899999999999998E-2</c:v>
                </c:pt>
                <c:pt idx="18">
                  <c:v>2.1400000000000002E-2</c:v>
                </c:pt>
              </c:numCache>
            </c:numRef>
          </c:val>
        </c:ser>
        <c:ser>
          <c:idx val="6"/>
          <c:order val="6"/>
          <c:val>
            <c:numRef>
              <c:f>Feuil1!$H$72:$H$90</c:f>
              <c:numCache>
                <c:formatCode>General</c:formatCode>
                <c:ptCount val="19"/>
                <c:pt idx="0">
                  <c:v>8.8000000000000005E-3</c:v>
                </c:pt>
                <c:pt idx="1">
                  <c:v>9.1999999999999998E-3</c:v>
                </c:pt>
                <c:pt idx="2">
                  <c:v>9.7999999999999997E-3</c:v>
                </c:pt>
                <c:pt idx="3">
                  <c:v>1.04E-2</c:v>
                </c:pt>
                <c:pt idx="4">
                  <c:v>1.11E-2</c:v>
                </c:pt>
                <c:pt idx="5">
                  <c:v>1.38E-2</c:v>
                </c:pt>
                <c:pt idx="6">
                  <c:v>1.66E-2</c:v>
                </c:pt>
                <c:pt idx="7">
                  <c:v>1.9199999999999998E-2</c:v>
                </c:pt>
                <c:pt idx="8">
                  <c:v>2.1499999999999998E-2</c:v>
                </c:pt>
                <c:pt idx="9">
                  <c:v>2.3199999999999998E-2</c:v>
                </c:pt>
                <c:pt idx="10">
                  <c:v>2.4500000000000001E-2</c:v>
                </c:pt>
                <c:pt idx="11">
                  <c:v>2.5600000000000001E-2</c:v>
                </c:pt>
                <c:pt idx="12">
                  <c:v>2.5899999999999999E-2</c:v>
                </c:pt>
                <c:pt idx="13">
                  <c:v>2.5899999999999999E-2</c:v>
                </c:pt>
                <c:pt idx="14">
                  <c:v>2.58E-2</c:v>
                </c:pt>
                <c:pt idx="15">
                  <c:v>2.46E-2</c:v>
                </c:pt>
                <c:pt idx="16">
                  <c:v>2.2200000000000001E-2</c:v>
                </c:pt>
                <c:pt idx="17">
                  <c:v>2.1000000000000001E-2</c:v>
                </c:pt>
                <c:pt idx="18">
                  <c:v>2.1499999999999998E-2</c:v>
                </c:pt>
              </c:numCache>
            </c:numRef>
          </c:val>
        </c:ser>
        <c:ser>
          <c:idx val="7"/>
          <c:order val="7"/>
          <c:val>
            <c:numRef>
              <c:f>Feuil1!$I$72:$I$90</c:f>
              <c:numCache>
                <c:formatCode>General</c:formatCode>
                <c:ptCount val="19"/>
                <c:pt idx="0">
                  <c:v>1.0200000000000001E-2</c:v>
                </c:pt>
                <c:pt idx="1">
                  <c:v>1.06E-2</c:v>
                </c:pt>
                <c:pt idx="2">
                  <c:v>1.1200000000000002E-2</c:v>
                </c:pt>
                <c:pt idx="3">
                  <c:v>1.18E-2</c:v>
                </c:pt>
                <c:pt idx="4">
                  <c:v>1.2500000000000001E-2</c:v>
                </c:pt>
                <c:pt idx="5">
                  <c:v>1.5100000000000001E-2</c:v>
                </c:pt>
                <c:pt idx="6">
                  <c:v>1.7600000000000001E-2</c:v>
                </c:pt>
                <c:pt idx="7">
                  <c:v>0.02</c:v>
                </c:pt>
                <c:pt idx="8">
                  <c:v>2.1899999999999999E-2</c:v>
                </c:pt>
                <c:pt idx="9">
                  <c:v>2.3599999999999999E-2</c:v>
                </c:pt>
                <c:pt idx="10">
                  <c:v>2.4900000000000002E-2</c:v>
                </c:pt>
                <c:pt idx="11">
                  <c:v>2.5399999999999999E-2</c:v>
                </c:pt>
                <c:pt idx="12">
                  <c:v>2.5699999999999997E-2</c:v>
                </c:pt>
                <c:pt idx="13">
                  <c:v>2.5899999999999999E-2</c:v>
                </c:pt>
                <c:pt idx="14">
                  <c:v>2.5899999999999999E-2</c:v>
                </c:pt>
                <c:pt idx="15">
                  <c:v>2.4399999999999998E-2</c:v>
                </c:pt>
                <c:pt idx="16">
                  <c:v>2.2099999999999998E-2</c:v>
                </c:pt>
                <c:pt idx="17">
                  <c:v>2.1000000000000001E-2</c:v>
                </c:pt>
                <c:pt idx="18">
                  <c:v>2.1600000000000001E-2</c:v>
                </c:pt>
              </c:numCache>
            </c:numRef>
          </c:val>
        </c:ser>
        <c:ser>
          <c:idx val="8"/>
          <c:order val="8"/>
          <c:val>
            <c:numRef>
              <c:f>Feuil1!$J$72:$J$90</c:f>
              <c:numCache>
                <c:formatCode>General</c:formatCode>
                <c:ptCount val="19"/>
                <c:pt idx="0">
                  <c:v>1.15E-2</c:v>
                </c:pt>
                <c:pt idx="1">
                  <c:v>1.1899999999999999E-2</c:v>
                </c:pt>
                <c:pt idx="2">
                  <c:v>1.2500000000000001E-2</c:v>
                </c:pt>
                <c:pt idx="3">
                  <c:v>1.3100000000000001E-2</c:v>
                </c:pt>
                <c:pt idx="4">
                  <c:v>1.37E-2</c:v>
                </c:pt>
                <c:pt idx="5">
                  <c:v>1.61E-2</c:v>
                </c:pt>
                <c:pt idx="6">
                  <c:v>1.8500000000000003E-2</c:v>
                </c:pt>
                <c:pt idx="7">
                  <c:v>2.06E-2</c:v>
                </c:pt>
                <c:pt idx="8">
                  <c:v>2.2400000000000003E-2</c:v>
                </c:pt>
                <c:pt idx="9">
                  <c:v>2.4E-2</c:v>
                </c:pt>
                <c:pt idx="10">
                  <c:v>2.4900000000000002E-2</c:v>
                </c:pt>
                <c:pt idx="11">
                  <c:v>2.5399999999999999E-2</c:v>
                </c:pt>
                <c:pt idx="12">
                  <c:v>2.5699999999999997E-2</c:v>
                </c:pt>
                <c:pt idx="13">
                  <c:v>2.5899999999999999E-2</c:v>
                </c:pt>
                <c:pt idx="14">
                  <c:v>2.5600000000000001E-2</c:v>
                </c:pt>
                <c:pt idx="15">
                  <c:v>2.4300000000000002E-2</c:v>
                </c:pt>
                <c:pt idx="16">
                  <c:v>2.1899999999999999E-2</c:v>
                </c:pt>
                <c:pt idx="17">
                  <c:v>2.1000000000000001E-2</c:v>
                </c:pt>
                <c:pt idx="18">
                  <c:v>2.1600000000000001E-2</c:v>
                </c:pt>
              </c:numCache>
            </c:numRef>
          </c:val>
        </c:ser>
        <c:ser>
          <c:idx val="9"/>
          <c:order val="9"/>
          <c:val>
            <c:numRef>
              <c:f>Feuil1!$K$72:$K$90</c:f>
              <c:numCache>
                <c:formatCode>General</c:formatCode>
                <c:ptCount val="19"/>
                <c:pt idx="0">
                  <c:v>1.2699999999999999E-2</c:v>
                </c:pt>
                <c:pt idx="1">
                  <c:v>1.3100000000000001E-2</c:v>
                </c:pt>
                <c:pt idx="2">
                  <c:v>1.37E-2</c:v>
                </c:pt>
                <c:pt idx="3">
                  <c:v>1.4199999999999999E-2</c:v>
                </c:pt>
                <c:pt idx="4">
                  <c:v>1.4800000000000001E-2</c:v>
                </c:pt>
                <c:pt idx="5">
                  <c:v>1.7100000000000001E-2</c:v>
                </c:pt>
                <c:pt idx="6">
                  <c:v>1.9099999999999999E-2</c:v>
                </c:pt>
                <c:pt idx="7">
                  <c:v>2.1099999999999997E-2</c:v>
                </c:pt>
                <c:pt idx="8">
                  <c:v>2.29E-2</c:v>
                </c:pt>
                <c:pt idx="9">
                  <c:v>2.4E-2</c:v>
                </c:pt>
                <c:pt idx="10">
                  <c:v>2.4900000000000002E-2</c:v>
                </c:pt>
                <c:pt idx="11">
                  <c:v>2.5399999999999999E-2</c:v>
                </c:pt>
                <c:pt idx="12">
                  <c:v>2.5699999999999997E-2</c:v>
                </c:pt>
                <c:pt idx="13">
                  <c:v>2.5899999999999999E-2</c:v>
                </c:pt>
                <c:pt idx="14">
                  <c:v>2.53E-2</c:v>
                </c:pt>
                <c:pt idx="15">
                  <c:v>2.41E-2</c:v>
                </c:pt>
                <c:pt idx="16">
                  <c:v>2.18E-2</c:v>
                </c:pt>
                <c:pt idx="17">
                  <c:v>2.1099999999999997E-2</c:v>
                </c:pt>
                <c:pt idx="18">
                  <c:v>2.1600000000000001E-2</c:v>
                </c:pt>
              </c:numCache>
            </c:numRef>
          </c:val>
        </c:ser>
        <c:ser>
          <c:idx val="10"/>
          <c:order val="10"/>
          <c:val>
            <c:numRef>
              <c:f>Feuil1!$L$72:$L$90</c:f>
              <c:numCache>
                <c:formatCode>General</c:formatCode>
                <c:ptCount val="19"/>
                <c:pt idx="0">
                  <c:v>1.47E-2</c:v>
                </c:pt>
                <c:pt idx="1">
                  <c:v>1.5100000000000001E-2</c:v>
                </c:pt>
                <c:pt idx="2">
                  <c:v>1.55E-2</c:v>
                </c:pt>
                <c:pt idx="3">
                  <c:v>1.6E-2</c:v>
                </c:pt>
                <c:pt idx="4">
                  <c:v>1.6500000000000001E-2</c:v>
                </c:pt>
                <c:pt idx="5">
                  <c:v>1.84E-2</c:v>
                </c:pt>
                <c:pt idx="6">
                  <c:v>2.0299999999999999E-2</c:v>
                </c:pt>
                <c:pt idx="7">
                  <c:v>2.1899999999999999E-2</c:v>
                </c:pt>
                <c:pt idx="8">
                  <c:v>2.3199999999999998E-2</c:v>
                </c:pt>
                <c:pt idx="9">
                  <c:v>2.4199999999999999E-2</c:v>
                </c:pt>
                <c:pt idx="10">
                  <c:v>2.5000000000000001E-2</c:v>
                </c:pt>
                <c:pt idx="11">
                  <c:v>2.5499999999999998E-2</c:v>
                </c:pt>
                <c:pt idx="12">
                  <c:v>2.5499999999999998E-2</c:v>
                </c:pt>
                <c:pt idx="13">
                  <c:v>2.5399999999999999E-2</c:v>
                </c:pt>
                <c:pt idx="14">
                  <c:v>2.4900000000000002E-2</c:v>
                </c:pt>
                <c:pt idx="15">
                  <c:v>2.3599999999999999E-2</c:v>
                </c:pt>
                <c:pt idx="16">
                  <c:v>2.18E-2</c:v>
                </c:pt>
                <c:pt idx="17">
                  <c:v>2.12E-2</c:v>
                </c:pt>
                <c:pt idx="18">
                  <c:v>2.1600000000000001E-2</c:v>
                </c:pt>
              </c:numCache>
            </c:numRef>
          </c:val>
        </c:ser>
        <c:ser>
          <c:idx val="11"/>
          <c:order val="11"/>
          <c:val>
            <c:numRef>
              <c:f>Feuil1!$M$72:$M$90</c:f>
              <c:numCache>
                <c:formatCode>General</c:formatCode>
                <c:ptCount val="19"/>
                <c:pt idx="0">
                  <c:v>1.6799999999999999E-2</c:v>
                </c:pt>
                <c:pt idx="1">
                  <c:v>1.7100000000000001E-2</c:v>
                </c:pt>
                <c:pt idx="2">
                  <c:v>1.7399999999999999E-2</c:v>
                </c:pt>
                <c:pt idx="3">
                  <c:v>1.78E-2</c:v>
                </c:pt>
                <c:pt idx="4">
                  <c:v>1.8200000000000001E-2</c:v>
                </c:pt>
                <c:pt idx="5">
                  <c:v>1.9699999999999999E-2</c:v>
                </c:pt>
                <c:pt idx="6">
                  <c:v>2.1099999999999997E-2</c:v>
                </c:pt>
                <c:pt idx="7">
                  <c:v>2.2499999999999999E-2</c:v>
                </c:pt>
                <c:pt idx="8">
                  <c:v>2.3599999999999999E-2</c:v>
                </c:pt>
                <c:pt idx="9">
                  <c:v>2.4300000000000002E-2</c:v>
                </c:pt>
                <c:pt idx="10">
                  <c:v>2.4799999999999999E-2</c:v>
                </c:pt>
                <c:pt idx="11">
                  <c:v>2.5000000000000001E-2</c:v>
                </c:pt>
                <c:pt idx="12">
                  <c:v>2.5099999999999997E-2</c:v>
                </c:pt>
                <c:pt idx="13">
                  <c:v>2.5000000000000001E-2</c:v>
                </c:pt>
                <c:pt idx="14">
                  <c:v>2.4300000000000002E-2</c:v>
                </c:pt>
                <c:pt idx="15">
                  <c:v>2.3099999999999999E-2</c:v>
                </c:pt>
                <c:pt idx="16">
                  <c:v>2.1700000000000001E-2</c:v>
                </c:pt>
                <c:pt idx="17">
                  <c:v>2.1299999999999999E-2</c:v>
                </c:pt>
                <c:pt idx="18">
                  <c:v>2.1499999999999998E-2</c:v>
                </c:pt>
              </c:numCache>
            </c:numRef>
          </c:val>
        </c:ser>
        <c:ser>
          <c:idx val="12"/>
          <c:order val="12"/>
          <c:val>
            <c:numRef>
              <c:f>Feuil1!$N$72:$N$90</c:f>
              <c:numCache>
                <c:formatCode>General</c:formatCode>
                <c:ptCount val="19"/>
                <c:pt idx="0">
                  <c:v>1.8600000000000002E-2</c:v>
                </c:pt>
                <c:pt idx="1">
                  <c:v>1.8799999999999997E-2</c:v>
                </c:pt>
                <c:pt idx="2">
                  <c:v>1.9099999999999999E-2</c:v>
                </c:pt>
                <c:pt idx="3">
                  <c:v>1.9299999999999998E-2</c:v>
                </c:pt>
                <c:pt idx="4">
                  <c:v>1.9599999999999999E-2</c:v>
                </c:pt>
                <c:pt idx="5">
                  <c:v>2.07E-2</c:v>
                </c:pt>
                <c:pt idx="6">
                  <c:v>2.1700000000000001E-2</c:v>
                </c:pt>
                <c:pt idx="7">
                  <c:v>2.2700000000000001E-2</c:v>
                </c:pt>
                <c:pt idx="8">
                  <c:v>2.3399999999999997E-2</c:v>
                </c:pt>
                <c:pt idx="9">
                  <c:v>2.3900000000000001E-2</c:v>
                </c:pt>
                <c:pt idx="10">
                  <c:v>2.4199999999999999E-2</c:v>
                </c:pt>
                <c:pt idx="11">
                  <c:v>2.4300000000000002E-2</c:v>
                </c:pt>
                <c:pt idx="12">
                  <c:v>2.4300000000000002E-2</c:v>
                </c:pt>
                <c:pt idx="13">
                  <c:v>2.41E-2</c:v>
                </c:pt>
                <c:pt idx="14">
                  <c:v>2.3599999999999999E-2</c:v>
                </c:pt>
                <c:pt idx="15">
                  <c:v>2.2799999999999997E-2</c:v>
                </c:pt>
                <c:pt idx="16">
                  <c:v>2.1700000000000001E-2</c:v>
                </c:pt>
                <c:pt idx="17">
                  <c:v>2.1299999999999999E-2</c:v>
                </c:pt>
                <c:pt idx="18">
                  <c:v>2.1099999999999997E-2</c:v>
                </c:pt>
              </c:numCache>
            </c:numRef>
          </c:val>
        </c:ser>
        <c:ser>
          <c:idx val="13"/>
          <c:order val="13"/>
          <c:val>
            <c:numRef>
              <c:f>Feuil1!$O$72:$O$90</c:f>
              <c:numCache>
                <c:formatCode>General</c:formatCode>
                <c:ptCount val="19"/>
                <c:pt idx="0">
                  <c:v>1.9199999999999998E-2</c:v>
                </c:pt>
                <c:pt idx="1">
                  <c:v>1.9400000000000001E-2</c:v>
                </c:pt>
                <c:pt idx="2">
                  <c:v>1.9599999999999999E-2</c:v>
                </c:pt>
                <c:pt idx="3">
                  <c:v>1.9799999999999998E-2</c:v>
                </c:pt>
                <c:pt idx="4">
                  <c:v>0.02</c:v>
                </c:pt>
                <c:pt idx="5">
                  <c:v>2.0899999999999998E-2</c:v>
                </c:pt>
                <c:pt idx="6">
                  <c:v>2.1700000000000001E-2</c:v>
                </c:pt>
                <c:pt idx="7">
                  <c:v>2.2400000000000003E-2</c:v>
                </c:pt>
                <c:pt idx="8">
                  <c:v>2.3E-2</c:v>
                </c:pt>
                <c:pt idx="9">
                  <c:v>2.35E-2</c:v>
                </c:pt>
                <c:pt idx="10">
                  <c:v>2.3700000000000002E-2</c:v>
                </c:pt>
                <c:pt idx="11">
                  <c:v>2.3799999999999998E-2</c:v>
                </c:pt>
                <c:pt idx="12">
                  <c:v>2.3799999999999998E-2</c:v>
                </c:pt>
                <c:pt idx="13">
                  <c:v>2.3700000000000002E-2</c:v>
                </c:pt>
                <c:pt idx="14">
                  <c:v>2.3300000000000001E-2</c:v>
                </c:pt>
                <c:pt idx="15">
                  <c:v>2.2599999999999999E-2</c:v>
                </c:pt>
                <c:pt idx="16">
                  <c:v>2.1600000000000001E-2</c:v>
                </c:pt>
                <c:pt idx="17">
                  <c:v>2.1000000000000001E-2</c:v>
                </c:pt>
                <c:pt idx="18">
                  <c:v>1.9699999999999999E-2</c:v>
                </c:pt>
              </c:numCache>
            </c:numRef>
          </c:val>
        </c:ser>
        <c:ser>
          <c:idx val="14"/>
          <c:order val="14"/>
          <c:val>
            <c:numRef>
              <c:f>Feuil1!$P$72:$P$90</c:f>
              <c:numCache>
                <c:formatCode>General</c:formatCode>
                <c:ptCount val="19"/>
                <c:pt idx="0">
                  <c:v>1.9400000000000001E-2</c:v>
                </c:pt>
                <c:pt idx="1">
                  <c:v>1.9599999999999999E-2</c:v>
                </c:pt>
                <c:pt idx="2">
                  <c:v>1.9799999999999998E-2</c:v>
                </c:pt>
                <c:pt idx="3">
                  <c:v>1.9900000000000001E-2</c:v>
                </c:pt>
                <c:pt idx="4">
                  <c:v>2.0099999999999996E-2</c:v>
                </c:pt>
                <c:pt idx="5">
                  <c:v>2.0899999999999998E-2</c:v>
                </c:pt>
                <c:pt idx="6">
                  <c:v>2.1700000000000001E-2</c:v>
                </c:pt>
                <c:pt idx="7">
                  <c:v>2.23E-2</c:v>
                </c:pt>
                <c:pt idx="8">
                  <c:v>2.2799999999999997E-2</c:v>
                </c:pt>
                <c:pt idx="9">
                  <c:v>2.3199999999999998E-2</c:v>
                </c:pt>
                <c:pt idx="10">
                  <c:v>2.35E-2</c:v>
                </c:pt>
                <c:pt idx="11">
                  <c:v>2.3599999999999999E-2</c:v>
                </c:pt>
                <c:pt idx="12">
                  <c:v>2.35E-2</c:v>
                </c:pt>
                <c:pt idx="13">
                  <c:v>2.35E-2</c:v>
                </c:pt>
                <c:pt idx="14">
                  <c:v>2.3099999999999999E-2</c:v>
                </c:pt>
                <c:pt idx="15">
                  <c:v>2.2400000000000003E-2</c:v>
                </c:pt>
                <c:pt idx="16">
                  <c:v>2.1400000000000002E-2</c:v>
                </c:pt>
                <c:pt idx="17">
                  <c:v>1.9900000000000001E-2</c:v>
                </c:pt>
                <c:pt idx="18">
                  <c:v>1.8600000000000002E-2</c:v>
                </c:pt>
              </c:numCache>
            </c:numRef>
          </c:val>
        </c:ser>
        <c:dLbls/>
        <c:axId val="121404032"/>
        <c:axId val="121409920"/>
        <c:axId val="121379008"/>
      </c:area3DChart>
      <c:catAx>
        <c:axId val="121404032"/>
        <c:scaling>
          <c:orientation val="minMax"/>
        </c:scaling>
        <c:axPos val="b"/>
        <c:tickLblPos val="nextTo"/>
        <c:crossAx val="121409920"/>
        <c:crosses val="autoZero"/>
        <c:auto val="1"/>
        <c:lblAlgn val="ctr"/>
        <c:lblOffset val="100"/>
      </c:catAx>
      <c:valAx>
        <c:axId val="121409920"/>
        <c:scaling>
          <c:orientation val="minMax"/>
        </c:scaling>
        <c:axPos val="l"/>
        <c:majorGridlines/>
        <c:numFmt formatCode="General" sourceLinked="1"/>
        <c:tickLblPos val="nextTo"/>
        <c:crossAx val="121404032"/>
        <c:crosses val="autoZero"/>
        <c:crossBetween val="midCat"/>
      </c:valAx>
      <c:serAx>
        <c:axId val="121379008"/>
        <c:scaling>
          <c:orientation val="minMax"/>
        </c:scaling>
        <c:axPos val="b"/>
        <c:tickLblPos val="nextTo"/>
        <c:crossAx val="121409920"/>
        <c:crosses val="autoZero"/>
      </c:serAx>
    </c:plotArea>
    <c:legend>
      <c:legendPos val="r"/>
      <c:layout/>
    </c:legend>
    <c:plotVisOnly val="1"/>
    <c:dispBlanksAs val="zero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view3D>
      <c:rotY val="120"/>
      <c:perspective val="30"/>
    </c:view3D>
    <c:plotArea>
      <c:layout/>
      <c:area3DChart>
        <c:grouping val="standard"/>
        <c:ser>
          <c:idx val="0"/>
          <c:order val="0"/>
          <c:val>
            <c:numRef>
              <c:f>Feuil1!$B$49:$B$67</c:f>
              <c:numCache>
                <c:formatCode>General</c:formatCode>
                <c:ptCount val="19"/>
                <c:pt idx="0">
                  <c:v>0.52180000000000004</c:v>
                </c:pt>
                <c:pt idx="1">
                  <c:v>0.50029999999999997</c:v>
                </c:pt>
                <c:pt idx="2">
                  <c:v>0.49099999999999999</c:v>
                </c:pt>
                <c:pt idx="3">
                  <c:v>0.52039999999999997</c:v>
                </c:pt>
                <c:pt idx="4">
                  <c:v>0.5514</c:v>
                </c:pt>
                <c:pt idx="5">
                  <c:v>0.6663</c:v>
                </c:pt>
                <c:pt idx="6">
                  <c:v>0.71389999999999998</c:v>
                </c:pt>
                <c:pt idx="7">
                  <c:v>0.63729999999999998</c:v>
                </c:pt>
                <c:pt idx="8">
                  <c:v>0.51700000000000002</c:v>
                </c:pt>
                <c:pt idx="9">
                  <c:v>0.44689999999999996</c:v>
                </c:pt>
                <c:pt idx="10">
                  <c:v>0.37770000000000004</c:v>
                </c:pt>
                <c:pt idx="11">
                  <c:v>0.35100000000000003</c:v>
                </c:pt>
                <c:pt idx="12">
                  <c:v>0.32719999999999999</c:v>
                </c:pt>
                <c:pt idx="13">
                  <c:v>0.30459999999999998</c:v>
                </c:pt>
                <c:pt idx="14">
                  <c:v>0.29339999999999999</c:v>
                </c:pt>
                <c:pt idx="15">
                  <c:v>0.2792</c:v>
                </c:pt>
                <c:pt idx="16">
                  <c:v>0.28410000000000002</c:v>
                </c:pt>
                <c:pt idx="17">
                  <c:v>0.29189999999999999</c:v>
                </c:pt>
                <c:pt idx="18">
                  <c:v>0.28260000000000002</c:v>
                </c:pt>
              </c:numCache>
            </c:numRef>
          </c:val>
        </c:ser>
        <c:ser>
          <c:idx val="1"/>
          <c:order val="1"/>
          <c:val>
            <c:numRef>
              <c:f>Feuil1!$C$49:$C$67</c:f>
              <c:numCache>
                <c:formatCode>General</c:formatCode>
                <c:ptCount val="19"/>
                <c:pt idx="0">
                  <c:v>0.49530000000000002</c:v>
                </c:pt>
                <c:pt idx="1">
                  <c:v>0.47899999999999998</c:v>
                </c:pt>
                <c:pt idx="2">
                  <c:v>0.48780000000000001</c:v>
                </c:pt>
                <c:pt idx="3">
                  <c:v>0.53500000000000003</c:v>
                </c:pt>
                <c:pt idx="4">
                  <c:v>0.5847</c:v>
                </c:pt>
                <c:pt idx="5">
                  <c:v>0.6764</c:v>
                </c:pt>
                <c:pt idx="6">
                  <c:v>0.66010000000000002</c:v>
                </c:pt>
                <c:pt idx="7">
                  <c:v>0.56479999999999997</c:v>
                </c:pt>
                <c:pt idx="8">
                  <c:v>0.47549999999999998</c:v>
                </c:pt>
                <c:pt idx="9">
                  <c:v>0.4168</c:v>
                </c:pt>
                <c:pt idx="10">
                  <c:v>0.36109999999999998</c:v>
                </c:pt>
                <c:pt idx="11">
                  <c:v>0.33929999999999999</c:v>
                </c:pt>
                <c:pt idx="12">
                  <c:v>0.32030000000000003</c:v>
                </c:pt>
                <c:pt idx="13">
                  <c:v>0.3029</c:v>
                </c:pt>
                <c:pt idx="14">
                  <c:v>0.2928</c:v>
                </c:pt>
                <c:pt idx="15">
                  <c:v>0.28300000000000003</c:v>
                </c:pt>
                <c:pt idx="16">
                  <c:v>0.29089999999999999</c:v>
                </c:pt>
                <c:pt idx="17">
                  <c:v>0.29630000000000001</c:v>
                </c:pt>
                <c:pt idx="18">
                  <c:v>0.27810000000000001</c:v>
                </c:pt>
              </c:numCache>
            </c:numRef>
          </c:val>
        </c:ser>
        <c:ser>
          <c:idx val="2"/>
          <c:order val="2"/>
          <c:val>
            <c:numRef>
              <c:f>Feuil1!$D$49:$D$67</c:f>
              <c:numCache>
                <c:formatCode>General</c:formatCode>
                <c:ptCount val="19"/>
                <c:pt idx="0">
                  <c:v>0.52670000000000006</c:v>
                </c:pt>
                <c:pt idx="1">
                  <c:v>0.51560000000000006</c:v>
                </c:pt>
                <c:pt idx="2">
                  <c:v>0.51880000000000004</c:v>
                </c:pt>
                <c:pt idx="3">
                  <c:v>0.55330000000000001</c:v>
                </c:pt>
                <c:pt idx="4">
                  <c:v>0.5897</c:v>
                </c:pt>
                <c:pt idx="5">
                  <c:v>0.626</c:v>
                </c:pt>
                <c:pt idx="6">
                  <c:v>0.58729999999999993</c:v>
                </c:pt>
                <c:pt idx="7">
                  <c:v>0.50319999999999998</c:v>
                </c:pt>
                <c:pt idx="8">
                  <c:v>0.43320000000000003</c:v>
                </c:pt>
                <c:pt idx="9">
                  <c:v>0.38719999999999999</c:v>
                </c:pt>
                <c:pt idx="10">
                  <c:v>0.34409999999999996</c:v>
                </c:pt>
                <c:pt idx="11">
                  <c:v>0.32600000000000001</c:v>
                </c:pt>
                <c:pt idx="12">
                  <c:v>0.31079999999999997</c:v>
                </c:pt>
                <c:pt idx="13">
                  <c:v>0.29770000000000002</c:v>
                </c:pt>
                <c:pt idx="14">
                  <c:v>0.28850000000000003</c:v>
                </c:pt>
                <c:pt idx="15">
                  <c:v>0.28320000000000001</c:v>
                </c:pt>
                <c:pt idx="16">
                  <c:v>0.29149999999999998</c:v>
                </c:pt>
                <c:pt idx="17">
                  <c:v>0.29570000000000002</c:v>
                </c:pt>
                <c:pt idx="18">
                  <c:v>0.27350000000000002</c:v>
                </c:pt>
              </c:numCache>
            </c:numRef>
          </c:val>
        </c:ser>
        <c:ser>
          <c:idx val="3"/>
          <c:order val="3"/>
          <c:val>
            <c:numRef>
              <c:f>Feuil1!$E$49:$E$67</c:f>
              <c:numCache>
                <c:formatCode>General</c:formatCode>
                <c:ptCount val="19"/>
                <c:pt idx="0">
                  <c:v>0.53210000000000002</c:v>
                </c:pt>
                <c:pt idx="1">
                  <c:v>0.51739999999999997</c:v>
                </c:pt>
                <c:pt idx="2">
                  <c:v>0.51439999999999997</c:v>
                </c:pt>
                <c:pt idx="3">
                  <c:v>0.53969999999999996</c:v>
                </c:pt>
                <c:pt idx="4">
                  <c:v>0.56640000000000001</c:v>
                </c:pt>
                <c:pt idx="5">
                  <c:v>0.56659999999999999</c:v>
                </c:pt>
                <c:pt idx="6">
                  <c:v>0.52710000000000001</c:v>
                </c:pt>
                <c:pt idx="7">
                  <c:v>0.46090000000000003</c:v>
                </c:pt>
                <c:pt idx="8">
                  <c:v>0.40539999999999998</c:v>
                </c:pt>
                <c:pt idx="9">
                  <c:v>0.36770000000000003</c:v>
                </c:pt>
                <c:pt idx="10">
                  <c:v>0.33250000000000002</c:v>
                </c:pt>
                <c:pt idx="11">
                  <c:v>0.31829999999999997</c:v>
                </c:pt>
                <c:pt idx="12">
                  <c:v>0.30690000000000001</c:v>
                </c:pt>
                <c:pt idx="13">
                  <c:v>0.29570000000000002</c:v>
                </c:pt>
                <c:pt idx="14">
                  <c:v>0.29059999999999997</c:v>
                </c:pt>
                <c:pt idx="15">
                  <c:v>0.28600000000000003</c:v>
                </c:pt>
                <c:pt idx="16">
                  <c:v>0.29370000000000002</c:v>
                </c:pt>
                <c:pt idx="17">
                  <c:v>0.29449999999999998</c:v>
                </c:pt>
                <c:pt idx="18">
                  <c:v>0.26929999999999998</c:v>
                </c:pt>
              </c:numCache>
            </c:numRef>
          </c:val>
        </c:ser>
        <c:ser>
          <c:idx val="4"/>
          <c:order val="4"/>
          <c:val>
            <c:numRef>
              <c:f>Feuil1!$F$49:$F$67</c:f>
              <c:numCache>
                <c:formatCode>General</c:formatCode>
                <c:ptCount val="19"/>
                <c:pt idx="0">
                  <c:v>0.51170000000000004</c:v>
                </c:pt>
                <c:pt idx="1">
                  <c:v>0.50919999999999999</c:v>
                </c:pt>
                <c:pt idx="2">
                  <c:v>0.49689999999999995</c:v>
                </c:pt>
                <c:pt idx="3">
                  <c:v>0.5151</c:v>
                </c:pt>
                <c:pt idx="4">
                  <c:v>0.5343</c:v>
                </c:pt>
                <c:pt idx="5">
                  <c:v>0.5202</c:v>
                </c:pt>
                <c:pt idx="6">
                  <c:v>0.48210000000000003</c:v>
                </c:pt>
                <c:pt idx="7">
                  <c:v>0.43009999999999998</c:v>
                </c:pt>
                <c:pt idx="8">
                  <c:v>0.38679999999999998</c:v>
                </c:pt>
                <c:pt idx="9">
                  <c:v>0.35460000000000003</c:v>
                </c:pt>
                <c:pt idx="10">
                  <c:v>0.32450000000000001</c:v>
                </c:pt>
                <c:pt idx="11">
                  <c:v>0.31390000000000001</c:v>
                </c:pt>
                <c:pt idx="12">
                  <c:v>0.30409999999999998</c:v>
                </c:pt>
                <c:pt idx="13">
                  <c:v>0.29460000000000003</c:v>
                </c:pt>
                <c:pt idx="14">
                  <c:v>0.29220000000000002</c:v>
                </c:pt>
                <c:pt idx="15">
                  <c:v>0.28800000000000003</c:v>
                </c:pt>
                <c:pt idx="16">
                  <c:v>0.2969</c:v>
                </c:pt>
                <c:pt idx="17">
                  <c:v>0.29330000000000001</c:v>
                </c:pt>
                <c:pt idx="18">
                  <c:v>0.2656</c:v>
                </c:pt>
              </c:numCache>
            </c:numRef>
          </c:val>
        </c:ser>
        <c:ser>
          <c:idx val="5"/>
          <c:order val="5"/>
          <c:val>
            <c:numRef>
              <c:f>Feuil1!$G$49:$G$67</c:f>
              <c:numCache>
                <c:formatCode>General</c:formatCode>
                <c:ptCount val="19"/>
                <c:pt idx="0">
                  <c:v>0.48869999999999997</c:v>
                </c:pt>
                <c:pt idx="1">
                  <c:v>0.47520000000000001</c:v>
                </c:pt>
                <c:pt idx="2">
                  <c:v>0.46659999999999996</c:v>
                </c:pt>
                <c:pt idx="3">
                  <c:v>0.47970000000000002</c:v>
                </c:pt>
                <c:pt idx="4">
                  <c:v>0.49340000000000006</c:v>
                </c:pt>
                <c:pt idx="5">
                  <c:v>0.47889999999999999</c:v>
                </c:pt>
                <c:pt idx="6">
                  <c:v>0.44659999999999994</c:v>
                </c:pt>
                <c:pt idx="7">
                  <c:v>0.40670000000000001</c:v>
                </c:pt>
                <c:pt idx="8">
                  <c:v>0.37140000000000001</c:v>
                </c:pt>
                <c:pt idx="9">
                  <c:v>0.34409999999999996</c:v>
                </c:pt>
                <c:pt idx="10">
                  <c:v>0.31920000000000004</c:v>
                </c:pt>
                <c:pt idx="11">
                  <c:v>0.30969999999999998</c:v>
                </c:pt>
                <c:pt idx="12">
                  <c:v>0.30109999999999998</c:v>
                </c:pt>
                <c:pt idx="13">
                  <c:v>0.29480000000000001</c:v>
                </c:pt>
                <c:pt idx="14">
                  <c:v>0.29199999999999998</c:v>
                </c:pt>
                <c:pt idx="15">
                  <c:v>0.2893</c:v>
                </c:pt>
                <c:pt idx="16">
                  <c:v>0.29809999999999998</c:v>
                </c:pt>
                <c:pt idx="17">
                  <c:v>0.28920000000000001</c:v>
                </c:pt>
                <c:pt idx="18">
                  <c:v>0.25940000000000002</c:v>
                </c:pt>
              </c:numCache>
            </c:numRef>
          </c:val>
        </c:ser>
        <c:ser>
          <c:idx val="6"/>
          <c:order val="6"/>
          <c:val>
            <c:numRef>
              <c:f>Feuil1!$H$49:$H$67</c:f>
              <c:numCache>
                <c:formatCode>General</c:formatCode>
                <c:ptCount val="19"/>
                <c:pt idx="0">
                  <c:v>0.4667</c:v>
                </c:pt>
                <c:pt idx="1">
                  <c:v>0.45030000000000003</c:v>
                </c:pt>
                <c:pt idx="2">
                  <c:v>0.43740000000000001</c:v>
                </c:pt>
                <c:pt idx="3">
                  <c:v>0.44850000000000001</c:v>
                </c:pt>
                <c:pt idx="4">
                  <c:v>0.46029999999999999</c:v>
                </c:pt>
                <c:pt idx="5">
                  <c:v>0.4476</c:v>
                </c:pt>
                <c:pt idx="6">
                  <c:v>0.4199</c:v>
                </c:pt>
                <c:pt idx="7">
                  <c:v>0.38770000000000004</c:v>
                </c:pt>
                <c:pt idx="8">
                  <c:v>0.36030000000000001</c:v>
                </c:pt>
                <c:pt idx="9">
                  <c:v>0.33710000000000001</c:v>
                </c:pt>
                <c:pt idx="10">
                  <c:v>0.31530000000000002</c:v>
                </c:pt>
                <c:pt idx="11">
                  <c:v>0.30640000000000001</c:v>
                </c:pt>
                <c:pt idx="12">
                  <c:v>0.3004</c:v>
                </c:pt>
                <c:pt idx="13">
                  <c:v>0.2949</c:v>
                </c:pt>
                <c:pt idx="14">
                  <c:v>0.29220000000000002</c:v>
                </c:pt>
                <c:pt idx="15">
                  <c:v>0.29149999999999998</c:v>
                </c:pt>
                <c:pt idx="16">
                  <c:v>0.29949999999999999</c:v>
                </c:pt>
                <c:pt idx="17">
                  <c:v>0.28589999999999999</c:v>
                </c:pt>
                <c:pt idx="18">
                  <c:v>0.25429999999999997</c:v>
                </c:pt>
              </c:numCache>
            </c:numRef>
          </c:val>
        </c:ser>
        <c:ser>
          <c:idx val="7"/>
          <c:order val="7"/>
          <c:val>
            <c:numRef>
              <c:f>Feuil1!$I$49:$I$67</c:f>
              <c:numCache>
                <c:formatCode>General</c:formatCode>
                <c:ptCount val="19"/>
                <c:pt idx="0">
                  <c:v>0.44819999999999999</c:v>
                </c:pt>
                <c:pt idx="1">
                  <c:v>0.43270000000000003</c:v>
                </c:pt>
                <c:pt idx="2">
                  <c:v>0.41820000000000002</c:v>
                </c:pt>
                <c:pt idx="3">
                  <c:v>0.4269</c:v>
                </c:pt>
                <c:pt idx="4">
                  <c:v>0.436</c:v>
                </c:pt>
                <c:pt idx="5">
                  <c:v>0.42320000000000002</c:v>
                </c:pt>
                <c:pt idx="6">
                  <c:v>0.40039999999999998</c:v>
                </c:pt>
                <c:pt idx="7">
                  <c:v>0.37359999999999999</c:v>
                </c:pt>
                <c:pt idx="8">
                  <c:v>0.35200000000000004</c:v>
                </c:pt>
                <c:pt idx="9">
                  <c:v>0.33229999999999998</c:v>
                </c:pt>
                <c:pt idx="10">
                  <c:v>0.31379999999999997</c:v>
                </c:pt>
                <c:pt idx="11">
                  <c:v>0.30680000000000002</c:v>
                </c:pt>
                <c:pt idx="12">
                  <c:v>0.30079999999999996</c:v>
                </c:pt>
                <c:pt idx="13">
                  <c:v>0.29510000000000003</c:v>
                </c:pt>
                <c:pt idx="14">
                  <c:v>0.29299999999999998</c:v>
                </c:pt>
                <c:pt idx="15">
                  <c:v>0.29410000000000003</c:v>
                </c:pt>
                <c:pt idx="16">
                  <c:v>0.29969999999999997</c:v>
                </c:pt>
                <c:pt idx="17">
                  <c:v>0.28179999999999999</c:v>
                </c:pt>
                <c:pt idx="18">
                  <c:v>0.24909999999999999</c:v>
                </c:pt>
              </c:numCache>
            </c:numRef>
          </c:val>
        </c:ser>
        <c:ser>
          <c:idx val="8"/>
          <c:order val="8"/>
          <c:val>
            <c:numRef>
              <c:f>Feuil1!$J$49:$J$67</c:f>
              <c:numCache>
                <c:formatCode>General</c:formatCode>
                <c:ptCount val="19"/>
                <c:pt idx="0">
                  <c:v>0.43280000000000002</c:v>
                </c:pt>
                <c:pt idx="1">
                  <c:v>0.41479999999999995</c:v>
                </c:pt>
                <c:pt idx="2">
                  <c:v>0.40210000000000001</c:v>
                </c:pt>
                <c:pt idx="3">
                  <c:v>0.4093</c:v>
                </c:pt>
                <c:pt idx="4">
                  <c:v>0.41689999999999999</c:v>
                </c:pt>
                <c:pt idx="5">
                  <c:v>0.4078</c:v>
                </c:pt>
                <c:pt idx="6">
                  <c:v>0.3856</c:v>
                </c:pt>
                <c:pt idx="7">
                  <c:v>0.36369999999999997</c:v>
                </c:pt>
                <c:pt idx="8">
                  <c:v>0.3448</c:v>
                </c:pt>
                <c:pt idx="9">
                  <c:v>0.32729999999999998</c:v>
                </c:pt>
                <c:pt idx="10">
                  <c:v>0.31230000000000002</c:v>
                </c:pt>
                <c:pt idx="11">
                  <c:v>0.30640000000000001</c:v>
                </c:pt>
                <c:pt idx="12">
                  <c:v>0.30130000000000001</c:v>
                </c:pt>
                <c:pt idx="13">
                  <c:v>0.29659999999999997</c:v>
                </c:pt>
                <c:pt idx="14">
                  <c:v>0.29520000000000002</c:v>
                </c:pt>
                <c:pt idx="15">
                  <c:v>0.29530000000000001</c:v>
                </c:pt>
                <c:pt idx="16">
                  <c:v>0.2989</c:v>
                </c:pt>
                <c:pt idx="17">
                  <c:v>0.27760000000000001</c:v>
                </c:pt>
                <c:pt idx="18">
                  <c:v>0.24390000000000001</c:v>
                </c:pt>
              </c:numCache>
            </c:numRef>
          </c:val>
        </c:ser>
        <c:ser>
          <c:idx val="9"/>
          <c:order val="9"/>
          <c:val>
            <c:numRef>
              <c:f>Feuil1!$K$49:$K$67</c:f>
              <c:numCache>
                <c:formatCode>General</c:formatCode>
                <c:ptCount val="19"/>
                <c:pt idx="0">
                  <c:v>0.41899999999999998</c:v>
                </c:pt>
                <c:pt idx="1">
                  <c:v>0.3997</c:v>
                </c:pt>
                <c:pt idx="2">
                  <c:v>0.38679999999999998</c:v>
                </c:pt>
                <c:pt idx="3">
                  <c:v>0.39360000000000001</c:v>
                </c:pt>
                <c:pt idx="4">
                  <c:v>0.4007</c:v>
                </c:pt>
                <c:pt idx="5">
                  <c:v>0.39429999999999998</c:v>
                </c:pt>
                <c:pt idx="6">
                  <c:v>0.37390000000000001</c:v>
                </c:pt>
                <c:pt idx="7">
                  <c:v>0.35560000000000003</c:v>
                </c:pt>
                <c:pt idx="8">
                  <c:v>0.33929999999999999</c:v>
                </c:pt>
                <c:pt idx="9">
                  <c:v>0.32479999999999998</c:v>
                </c:pt>
                <c:pt idx="10">
                  <c:v>0.31129999999999997</c:v>
                </c:pt>
                <c:pt idx="11">
                  <c:v>0.30599999999999999</c:v>
                </c:pt>
                <c:pt idx="12">
                  <c:v>0.30149999999999999</c:v>
                </c:pt>
                <c:pt idx="13">
                  <c:v>0.2974</c:v>
                </c:pt>
                <c:pt idx="14">
                  <c:v>0.29659999999999997</c:v>
                </c:pt>
                <c:pt idx="15">
                  <c:v>0.29620000000000002</c:v>
                </c:pt>
                <c:pt idx="16">
                  <c:v>0.29670000000000002</c:v>
                </c:pt>
                <c:pt idx="17">
                  <c:v>0.27260000000000001</c:v>
                </c:pt>
                <c:pt idx="18">
                  <c:v>0.23920000000000002</c:v>
                </c:pt>
              </c:numCache>
            </c:numRef>
          </c:val>
        </c:ser>
        <c:ser>
          <c:idx val="10"/>
          <c:order val="10"/>
          <c:val>
            <c:numRef>
              <c:f>Feuil1!$L$49:$L$67</c:f>
              <c:numCache>
                <c:formatCode>General</c:formatCode>
                <c:ptCount val="19"/>
                <c:pt idx="0">
                  <c:v>0.38429999999999997</c:v>
                </c:pt>
                <c:pt idx="1">
                  <c:v>0.36630000000000001</c:v>
                </c:pt>
                <c:pt idx="2">
                  <c:v>0.35470000000000002</c:v>
                </c:pt>
                <c:pt idx="3">
                  <c:v>0.36200000000000004</c:v>
                </c:pt>
                <c:pt idx="4">
                  <c:v>0.36979999999999996</c:v>
                </c:pt>
                <c:pt idx="5">
                  <c:v>0.36869999999999997</c:v>
                </c:pt>
                <c:pt idx="6">
                  <c:v>0.35420000000000001</c:v>
                </c:pt>
                <c:pt idx="7">
                  <c:v>0.34009999999999996</c:v>
                </c:pt>
                <c:pt idx="8">
                  <c:v>0.32750000000000001</c:v>
                </c:pt>
                <c:pt idx="9">
                  <c:v>0.31489999999999996</c:v>
                </c:pt>
                <c:pt idx="10">
                  <c:v>0.30320000000000003</c:v>
                </c:pt>
                <c:pt idx="11">
                  <c:v>0.29820000000000002</c:v>
                </c:pt>
                <c:pt idx="12">
                  <c:v>0.29480000000000001</c:v>
                </c:pt>
                <c:pt idx="13">
                  <c:v>0.2918</c:v>
                </c:pt>
                <c:pt idx="14">
                  <c:v>0.28960000000000002</c:v>
                </c:pt>
                <c:pt idx="15">
                  <c:v>0.28789999999999999</c:v>
                </c:pt>
                <c:pt idx="16">
                  <c:v>0.28249999999999997</c:v>
                </c:pt>
                <c:pt idx="17">
                  <c:v>0.25780000000000003</c:v>
                </c:pt>
                <c:pt idx="18">
                  <c:v>0.22769999999999999</c:v>
                </c:pt>
              </c:numCache>
            </c:numRef>
          </c:val>
        </c:ser>
        <c:ser>
          <c:idx val="11"/>
          <c:order val="11"/>
          <c:val>
            <c:numRef>
              <c:f>Feuil1!$M$49:$M$67</c:f>
              <c:numCache>
                <c:formatCode>General</c:formatCode>
                <c:ptCount val="19"/>
                <c:pt idx="0">
                  <c:v>0.3337</c:v>
                </c:pt>
                <c:pt idx="1">
                  <c:v>0.31769999999999998</c:v>
                </c:pt>
                <c:pt idx="2">
                  <c:v>0.30909999999999999</c:v>
                </c:pt>
                <c:pt idx="3">
                  <c:v>0.31780000000000003</c:v>
                </c:pt>
                <c:pt idx="4">
                  <c:v>0.3271</c:v>
                </c:pt>
                <c:pt idx="5">
                  <c:v>0.3322</c:v>
                </c:pt>
                <c:pt idx="6">
                  <c:v>0.3251</c:v>
                </c:pt>
                <c:pt idx="7">
                  <c:v>0.31730000000000003</c:v>
                </c:pt>
                <c:pt idx="8">
                  <c:v>0.30940000000000001</c:v>
                </c:pt>
                <c:pt idx="9">
                  <c:v>0.3004</c:v>
                </c:pt>
                <c:pt idx="10">
                  <c:v>0.29220000000000002</c:v>
                </c:pt>
                <c:pt idx="11">
                  <c:v>0.28850000000000003</c:v>
                </c:pt>
                <c:pt idx="12">
                  <c:v>0.2853</c:v>
                </c:pt>
                <c:pt idx="13">
                  <c:v>0.28260000000000002</c:v>
                </c:pt>
                <c:pt idx="14">
                  <c:v>0.27910000000000001</c:v>
                </c:pt>
                <c:pt idx="15">
                  <c:v>0.2747</c:v>
                </c:pt>
                <c:pt idx="16">
                  <c:v>0.26129999999999998</c:v>
                </c:pt>
                <c:pt idx="17">
                  <c:v>0.2359</c:v>
                </c:pt>
                <c:pt idx="18">
                  <c:v>0.21050000000000002</c:v>
                </c:pt>
              </c:numCache>
            </c:numRef>
          </c:val>
        </c:ser>
        <c:ser>
          <c:idx val="12"/>
          <c:order val="12"/>
          <c:val>
            <c:numRef>
              <c:f>Feuil1!$N$49:$N$67</c:f>
              <c:numCache>
                <c:formatCode>General</c:formatCode>
                <c:ptCount val="19"/>
                <c:pt idx="0">
                  <c:v>0.31670000000000004</c:v>
                </c:pt>
                <c:pt idx="1">
                  <c:v>0.29620000000000002</c:v>
                </c:pt>
                <c:pt idx="2">
                  <c:v>0.28889999999999999</c:v>
                </c:pt>
                <c:pt idx="3">
                  <c:v>0.29670000000000002</c:v>
                </c:pt>
                <c:pt idx="4">
                  <c:v>0.30510000000000004</c:v>
                </c:pt>
                <c:pt idx="5">
                  <c:v>0.31569999999999998</c:v>
                </c:pt>
                <c:pt idx="6">
                  <c:v>0.312</c:v>
                </c:pt>
                <c:pt idx="7">
                  <c:v>0.308</c:v>
                </c:pt>
                <c:pt idx="8">
                  <c:v>0.3034</c:v>
                </c:pt>
                <c:pt idx="9">
                  <c:v>0.29410000000000003</c:v>
                </c:pt>
                <c:pt idx="10">
                  <c:v>0.28550000000000003</c:v>
                </c:pt>
                <c:pt idx="11">
                  <c:v>0.28059999999999996</c:v>
                </c:pt>
                <c:pt idx="12">
                  <c:v>0.2762</c:v>
                </c:pt>
                <c:pt idx="13">
                  <c:v>0.27210000000000001</c:v>
                </c:pt>
                <c:pt idx="14">
                  <c:v>0.26519999999999999</c:v>
                </c:pt>
                <c:pt idx="15">
                  <c:v>0.25540000000000002</c:v>
                </c:pt>
                <c:pt idx="16">
                  <c:v>0.23379999999999998</c:v>
                </c:pt>
                <c:pt idx="17">
                  <c:v>0.21199999999999999</c:v>
                </c:pt>
                <c:pt idx="18">
                  <c:v>0.1918</c:v>
                </c:pt>
              </c:numCache>
            </c:numRef>
          </c:val>
        </c:ser>
        <c:ser>
          <c:idx val="13"/>
          <c:order val="13"/>
          <c:val>
            <c:numRef>
              <c:f>Feuil1!$O$49:$O$67</c:f>
              <c:numCache>
                <c:formatCode>General</c:formatCode>
                <c:ptCount val="19"/>
                <c:pt idx="0">
                  <c:v>0.31859999999999999</c:v>
                </c:pt>
                <c:pt idx="1">
                  <c:v>0.29109999999999997</c:v>
                </c:pt>
                <c:pt idx="2">
                  <c:v>0.28360000000000002</c:v>
                </c:pt>
                <c:pt idx="3">
                  <c:v>0.29059999999999997</c:v>
                </c:pt>
                <c:pt idx="4">
                  <c:v>0.29809999999999998</c:v>
                </c:pt>
                <c:pt idx="5">
                  <c:v>0.30959999999999999</c:v>
                </c:pt>
                <c:pt idx="6">
                  <c:v>0.30599999999999999</c:v>
                </c:pt>
                <c:pt idx="7">
                  <c:v>0.30260000000000004</c:v>
                </c:pt>
                <c:pt idx="8">
                  <c:v>0.29770000000000002</c:v>
                </c:pt>
                <c:pt idx="9">
                  <c:v>0.28770000000000001</c:v>
                </c:pt>
                <c:pt idx="10">
                  <c:v>0.27810000000000001</c:v>
                </c:pt>
                <c:pt idx="11">
                  <c:v>0.27229999999999999</c:v>
                </c:pt>
                <c:pt idx="12">
                  <c:v>0.26679999999999998</c:v>
                </c:pt>
                <c:pt idx="13">
                  <c:v>0.26150000000000001</c:v>
                </c:pt>
                <c:pt idx="14">
                  <c:v>0.25280000000000002</c:v>
                </c:pt>
                <c:pt idx="15">
                  <c:v>0.24010000000000001</c:v>
                </c:pt>
                <c:pt idx="16">
                  <c:v>0.22039999999999998</c:v>
                </c:pt>
                <c:pt idx="17">
                  <c:v>0.20149999999999998</c:v>
                </c:pt>
                <c:pt idx="18">
                  <c:v>0.18129999999999999</c:v>
                </c:pt>
              </c:numCache>
            </c:numRef>
          </c:val>
        </c:ser>
        <c:ser>
          <c:idx val="14"/>
          <c:order val="14"/>
          <c:val>
            <c:numRef>
              <c:f>Feuil1!$P$49:$P$67</c:f>
              <c:numCache>
                <c:formatCode>General</c:formatCode>
                <c:ptCount val="19"/>
                <c:pt idx="0">
                  <c:v>0.32850000000000001</c:v>
                </c:pt>
                <c:pt idx="1">
                  <c:v>0.2954</c:v>
                </c:pt>
                <c:pt idx="2">
                  <c:v>0.28710000000000002</c:v>
                </c:pt>
                <c:pt idx="3">
                  <c:v>0.2923</c:v>
                </c:pt>
                <c:pt idx="4">
                  <c:v>0.2979</c:v>
                </c:pt>
                <c:pt idx="5">
                  <c:v>0.3075</c:v>
                </c:pt>
                <c:pt idx="6">
                  <c:v>0.30280000000000001</c:v>
                </c:pt>
                <c:pt idx="7">
                  <c:v>0.29699999999999999</c:v>
                </c:pt>
                <c:pt idx="8">
                  <c:v>0.29020000000000001</c:v>
                </c:pt>
                <c:pt idx="9">
                  <c:v>0.27929999999999999</c:v>
                </c:pt>
                <c:pt idx="10">
                  <c:v>0.26879999999999998</c:v>
                </c:pt>
                <c:pt idx="11">
                  <c:v>0.26250000000000001</c:v>
                </c:pt>
                <c:pt idx="12">
                  <c:v>0.25650000000000001</c:v>
                </c:pt>
                <c:pt idx="13">
                  <c:v>0.25069999999999998</c:v>
                </c:pt>
                <c:pt idx="14">
                  <c:v>0.24210000000000001</c:v>
                </c:pt>
                <c:pt idx="15">
                  <c:v>0.2296</c:v>
                </c:pt>
                <c:pt idx="16">
                  <c:v>0.21010000000000001</c:v>
                </c:pt>
                <c:pt idx="17">
                  <c:v>0.18989999999999999</c:v>
                </c:pt>
                <c:pt idx="18">
                  <c:v>0.16969999999999999</c:v>
                </c:pt>
              </c:numCache>
            </c:numRef>
          </c:val>
        </c:ser>
        <c:dLbls/>
        <c:axId val="123898112"/>
        <c:axId val="123912192"/>
        <c:axId val="123857088"/>
      </c:area3DChart>
      <c:catAx>
        <c:axId val="123898112"/>
        <c:scaling>
          <c:orientation val="minMax"/>
        </c:scaling>
        <c:axPos val="b"/>
        <c:tickLblPos val="nextTo"/>
        <c:crossAx val="123912192"/>
        <c:crosses val="autoZero"/>
        <c:auto val="1"/>
        <c:lblAlgn val="ctr"/>
        <c:lblOffset val="100"/>
      </c:catAx>
      <c:valAx>
        <c:axId val="123912192"/>
        <c:scaling>
          <c:orientation val="minMax"/>
        </c:scaling>
        <c:axPos val="r"/>
        <c:majorGridlines/>
        <c:numFmt formatCode="General" sourceLinked="1"/>
        <c:tickLblPos val="nextTo"/>
        <c:crossAx val="123898112"/>
        <c:crosses val="autoZero"/>
        <c:crossBetween val="midCat"/>
      </c:valAx>
      <c:serAx>
        <c:axId val="123857088"/>
        <c:scaling>
          <c:orientation val="minMax"/>
        </c:scaling>
        <c:axPos val="b"/>
        <c:tickLblPos val="nextTo"/>
        <c:crossAx val="123912192"/>
        <c:crosses val="autoZero"/>
      </c:serAx>
    </c:plotArea>
    <c:legend>
      <c:legendPos val="r"/>
      <c:layout/>
    </c:legend>
    <c:plotVisOnly val="1"/>
    <c:dispBlanksAs val="zero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smoothMarker"/>
        <c:ser>
          <c:idx val="0"/>
          <c:order val="0"/>
          <c:xVal>
            <c:numRef>
              <c:f>Feuil1!$A$98:$A$116</c:f>
              <c:numCache>
                <c:formatCode>General</c:formatCode>
                <c:ptCount val="19"/>
                <c:pt idx="0">
                  <c:v>8.3333333333333329E-2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15</c:v>
                </c:pt>
                <c:pt idx="16">
                  <c:v>20</c:v>
                </c:pt>
                <c:pt idx="17">
                  <c:v>25</c:v>
                </c:pt>
                <c:pt idx="18">
                  <c:v>30</c:v>
                </c:pt>
              </c:numCache>
            </c:numRef>
          </c:xVal>
          <c:yVal>
            <c:numRef>
              <c:f>Feuil1!$B$98:$B$116</c:f>
              <c:numCache>
                <c:formatCode>General</c:formatCode>
                <c:ptCount val="19"/>
                <c:pt idx="0">
                  <c:v>1.9081956403333333E-7</c:v>
                </c:pt>
                <c:pt idx="1">
                  <c:v>5.2625593922499989E-7</c:v>
                </c:pt>
                <c:pt idx="2">
                  <c:v>1.0848645E-6</c:v>
                </c:pt>
                <c:pt idx="3">
                  <c:v>2.0798681087999999E-6</c:v>
                </c:pt>
                <c:pt idx="4">
                  <c:v>3.5147250576000002E-6</c:v>
                </c:pt>
                <c:pt idx="5">
                  <c:v>2.1318752233800001E-5</c:v>
                </c:pt>
                <c:pt idx="6">
                  <c:v>8.3725829338800002E-5</c:v>
                </c:pt>
                <c:pt idx="7">
                  <c:v>1.7911271889000001E-4</c:v>
                </c:pt>
                <c:pt idx="8">
                  <c:v>2.6569863044999996E-4</c:v>
                </c:pt>
                <c:pt idx="9">
                  <c:v>3.6698478337500001E-4</c:v>
                </c:pt>
                <c:pt idx="10">
                  <c:v>4.2376633309080007E-4</c:v>
                </c:pt>
                <c:pt idx="11">
                  <c:v>5.1686269128000013E-4</c:v>
                </c:pt>
                <c:pt idx="12">
                  <c:v>5.7836402064000007E-4</c:v>
                </c:pt>
                <c:pt idx="13">
                  <c:v>6.175885134239999E-4</c:v>
                </c:pt>
                <c:pt idx="14">
                  <c:v>6.7698866257920006E-4</c:v>
                </c:pt>
                <c:pt idx="15">
                  <c:v>6.9614825625599988E-4</c:v>
                </c:pt>
                <c:pt idx="16">
                  <c:v>8.2449749671200008E-4</c:v>
                </c:pt>
                <c:pt idx="17">
                  <c:v>9.3046656260249998E-4</c:v>
                </c:pt>
                <c:pt idx="18">
                  <c:v>1.0972184870880004E-3</c:v>
                </c:pt>
              </c:numCache>
            </c:numRef>
          </c:yVal>
          <c:smooth val="1"/>
        </c:ser>
        <c:dLbls/>
        <c:axId val="123937536"/>
        <c:axId val="123939072"/>
      </c:scatterChart>
      <c:valAx>
        <c:axId val="123937536"/>
        <c:scaling>
          <c:orientation val="minMax"/>
        </c:scaling>
        <c:axPos val="b"/>
        <c:numFmt formatCode="General" sourceLinked="1"/>
        <c:tickLblPos val="nextTo"/>
        <c:crossAx val="123939072"/>
        <c:crosses val="autoZero"/>
        <c:crossBetween val="midCat"/>
      </c:valAx>
      <c:valAx>
        <c:axId val="123939072"/>
        <c:scaling>
          <c:orientation val="minMax"/>
        </c:scaling>
        <c:axPos val="l"/>
        <c:majorGridlines/>
        <c:numFmt formatCode="General" sourceLinked="1"/>
        <c:tickLblPos val="nextTo"/>
        <c:crossAx val="123937536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smoothMarker"/>
        <c:ser>
          <c:idx val="0"/>
          <c:order val="0"/>
          <c:xVal>
            <c:numRef>
              <c:f>Feuil1!$A$98:$A$116</c:f>
              <c:numCache>
                <c:formatCode>General</c:formatCode>
                <c:ptCount val="19"/>
                <c:pt idx="0">
                  <c:v>8.3333333333333329E-2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15</c:v>
                </c:pt>
                <c:pt idx="16">
                  <c:v>20</c:v>
                </c:pt>
                <c:pt idx="17">
                  <c:v>25</c:v>
                </c:pt>
                <c:pt idx="18">
                  <c:v>30</c:v>
                </c:pt>
              </c:numCache>
            </c:numRef>
          </c:xVal>
          <c:yVal>
            <c:numRef>
              <c:f>Feuil1!$E$98:$E$116</c:f>
              <c:numCache>
                <c:formatCode>General</c:formatCode>
                <c:ptCount val="19"/>
                <c:pt idx="0">
                  <c:v>5.4361038719999989E-7</c:v>
                </c:pt>
                <c:pt idx="1">
                  <c:v>1.7407371969000002E-6</c:v>
                </c:pt>
                <c:pt idx="2">
                  <c:v>4.0021863199999999E-6</c:v>
                </c:pt>
                <c:pt idx="3">
                  <c:v>7.8644544299999974E-6</c:v>
                </c:pt>
                <c:pt idx="4">
                  <c:v>1.3554178560000005E-5</c:v>
                </c:pt>
                <c:pt idx="5">
                  <c:v>5.43448995968E-5</c:v>
                </c:pt>
                <c:pt idx="6">
                  <c:v>1.261007036667E-4</c:v>
                </c:pt>
                <c:pt idx="7">
                  <c:v>2.0678670080640003E-4</c:v>
                </c:pt>
                <c:pt idx="8">
                  <c:v>2.8735628880200001E-4</c:v>
                </c:pt>
                <c:pt idx="9">
                  <c:v>3.6804228384060007E-4</c:v>
                </c:pt>
                <c:pt idx="10">
                  <c:v>4.2375326174999995E-4</c:v>
                </c:pt>
                <c:pt idx="11">
                  <c:v>4.9850167956479988E-4</c:v>
                </c:pt>
                <c:pt idx="12">
                  <c:v>5.5120944062249995E-4</c:v>
                </c:pt>
                <c:pt idx="13">
                  <c:v>5.9563973772899998E-4</c:v>
                </c:pt>
                <c:pt idx="14">
                  <c:v>6.9032480778719973E-4</c:v>
                </c:pt>
                <c:pt idx="15">
                  <c:v>7.7915597760000021E-4</c:v>
                </c:pt>
                <c:pt idx="16">
                  <c:v>8.8897511320200026E-4</c:v>
                </c:pt>
                <c:pt idx="17">
                  <c:v>9.3807438399999988E-4</c:v>
                </c:pt>
                <c:pt idx="18">
                  <c:v>9.9637198561200024E-4</c:v>
                </c:pt>
              </c:numCache>
            </c:numRef>
          </c:yVal>
          <c:smooth val="1"/>
        </c:ser>
        <c:dLbls/>
        <c:axId val="123959168"/>
        <c:axId val="123960704"/>
      </c:scatterChart>
      <c:valAx>
        <c:axId val="123959168"/>
        <c:scaling>
          <c:orientation val="minMax"/>
        </c:scaling>
        <c:axPos val="b"/>
        <c:numFmt formatCode="General" sourceLinked="1"/>
        <c:tickLblPos val="nextTo"/>
        <c:crossAx val="123960704"/>
        <c:crosses val="autoZero"/>
        <c:crossBetween val="midCat"/>
      </c:valAx>
      <c:valAx>
        <c:axId val="123960704"/>
        <c:scaling>
          <c:orientation val="minMax"/>
        </c:scaling>
        <c:axPos val="l"/>
        <c:majorGridlines/>
        <c:numFmt formatCode="General" sourceLinked="1"/>
        <c:tickLblPos val="nextTo"/>
        <c:crossAx val="123959168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view3D>
      <c:rotX val="10"/>
      <c:rotY val="30"/>
      <c:perspective val="30"/>
    </c:view3D>
    <c:plotArea>
      <c:layout/>
      <c:area3DChart>
        <c:grouping val="standard"/>
        <c:ser>
          <c:idx val="0"/>
          <c:order val="0"/>
          <c:val>
            <c:numRef>
              <c:f>Feuil1!$B$122:$B$139</c:f>
              <c:numCache>
                <c:formatCode>General</c:formatCode>
                <c:ptCount val="18"/>
                <c:pt idx="0">
                  <c:v>3.3543637519166653E-7</c:v>
                </c:pt>
                <c:pt idx="1">
                  <c:v>5.5860856077500006E-7</c:v>
                </c:pt>
                <c:pt idx="2">
                  <c:v>9.9500360879999992E-7</c:v>
                </c:pt>
                <c:pt idx="3">
                  <c:v>1.4348569488000003E-6</c:v>
                </c:pt>
                <c:pt idx="4">
                  <c:v>1.7804027176200002E-5</c:v>
                </c:pt>
                <c:pt idx="5">
                  <c:v>6.2407077104999998E-5</c:v>
                </c:pt>
                <c:pt idx="6">
                  <c:v>9.5386889551200005E-5</c:v>
                </c:pt>
                <c:pt idx="7">
                  <c:v>8.6585911559999954E-5</c:v>
                </c:pt>
                <c:pt idx="8">
                  <c:v>1.0128615292500005E-4</c:v>
                </c:pt>
                <c:pt idx="9">
                  <c:v>5.6781549715800058E-5</c:v>
                </c:pt>
                <c:pt idx="10">
                  <c:v>9.3096358189200066E-5</c:v>
                </c:pt>
                <c:pt idx="11">
                  <c:v>6.1501329359999932E-5</c:v>
                </c:pt>
                <c:pt idx="12">
                  <c:v>3.9224492783999833E-5</c:v>
                </c:pt>
                <c:pt idx="13">
                  <c:v>5.9400149155200161E-5</c:v>
                </c:pt>
                <c:pt idx="14">
                  <c:v>1.9159593676799816E-5</c:v>
                </c:pt>
                <c:pt idx="15">
                  <c:v>1.283492404560002E-4</c:v>
                </c:pt>
                <c:pt idx="16">
                  <c:v>1.059690658904999E-4</c:v>
                </c:pt>
                <c:pt idx="17">
                  <c:v>1.6675192448550044E-4</c:v>
                </c:pt>
              </c:numCache>
            </c:numRef>
          </c:val>
        </c:ser>
        <c:ser>
          <c:idx val="1"/>
          <c:order val="1"/>
          <c:val>
            <c:numRef>
              <c:f>Feuil1!$C$122:$C$139</c:f>
              <c:numCache>
                <c:formatCode>General</c:formatCode>
                <c:ptCount val="18"/>
                <c:pt idx="0">
                  <c:v>4.5374297320000001E-7</c:v>
                </c:pt>
                <c:pt idx="1">
                  <c:v>8.7882399320000011E-7</c:v>
                </c:pt>
                <c:pt idx="2">
                  <c:v>1.7232032043000005E-6</c:v>
                </c:pt>
                <c:pt idx="3">
                  <c:v>2.7655472600999985E-6</c:v>
                </c:pt>
                <c:pt idx="4">
                  <c:v>2.91432449372E-5</c:v>
                </c:pt>
                <c:pt idx="5">
                  <c:v>6.8369093651500003E-5</c:v>
                </c:pt>
                <c:pt idx="6">
                  <c:v>8.9502461510099964E-5</c:v>
                </c:pt>
                <c:pt idx="7">
                  <c:v>8.917287300360004E-5</c:v>
                </c:pt>
                <c:pt idx="8">
                  <c:v>9.4064039789999948E-5</c:v>
                </c:pt>
                <c:pt idx="9">
                  <c:v>5.3523638758299979E-5</c:v>
                </c:pt>
                <c:pt idx="10">
                  <c:v>8.7508187706500113E-5</c:v>
                </c:pt>
                <c:pt idx="11">
                  <c:v>6.4392185283300017E-5</c:v>
                </c:pt>
                <c:pt idx="12">
                  <c:v>3.8512868011900082E-5</c:v>
                </c:pt>
                <c:pt idx="13">
                  <c:v>8.5977919395199939E-5</c:v>
                </c:pt>
                <c:pt idx="14">
                  <c:v>2.6725299154800337E-5</c:v>
                </c:pt>
                <c:pt idx="15">
                  <c:v>1.3151645856199949E-4</c:v>
                </c:pt>
                <c:pt idx="16">
                  <c:v>9.4290114510500061E-5</c:v>
                </c:pt>
                <c:pt idx="17">
                  <c:v>1.0382439064550008E-4</c:v>
                </c:pt>
              </c:numCache>
            </c:numRef>
          </c:val>
        </c:ser>
        <c:ser>
          <c:idx val="2"/>
          <c:order val="2"/>
          <c:val>
            <c:numRef>
              <c:f>Feuil1!$D$122:$D$139</c:f>
              <c:numCache>
                <c:formatCode>General</c:formatCode>
                <c:ptCount val="18"/>
                <c:pt idx="0">
                  <c:v>7.8338654276666676E-7</c:v>
                </c:pt>
                <c:pt idx="1">
                  <c:v>1.4881985788000003E-6</c:v>
                </c:pt>
                <c:pt idx="2">
                  <c:v>2.6847092799999984E-6</c:v>
                </c:pt>
                <c:pt idx="3">
                  <c:v>4.4780730889000015E-6</c:v>
                </c:pt>
                <c:pt idx="4">
                  <c:v>3.5501327851900004E-5</c:v>
                </c:pt>
                <c:pt idx="5">
                  <c:v>7.0996552913199989E-5</c:v>
                </c:pt>
                <c:pt idx="6">
                  <c:v>8.2250759726799951E-5</c:v>
                </c:pt>
                <c:pt idx="7">
                  <c:v>8.5566270752000085E-5</c:v>
                </c:pt>
                <c:pt idx="8">
                  <c:v>8.6609592441599871E-5</c:v>
                </c:pt>
                <c:pt idx="9">
                  <c:v>5.6397010460700091E-5</c:v>
                </c:pt>
                <c:pt idx="10">
                  <c:v>7.9090133065699928E-5</c:v>
                </c:pt>
                <c:pt idx="11">
                  <c:v>5.9127851559999888E-5</c:v>
                </c:pt>
                <c:pt idx="12">
                  <c:v>2.9199621409000255E-5</c:v>
                </c:pt>
                <c:pt idx="13">
                  <c:v>1.1751795658099999E-4</c:v>
                </c:pt>
                <c:pt idx="14">
                  <c:v>3.3867597906000134E-5</c:v>
                </c:pt>
                <c:pt idx="15">
                  <c:v>1.2981415171399978E-4</c:v>
                </c:pt>
                <c:pt idx="16">
                  <c:v>7.0027693790000126E-5</c:v>
                </c:pt>
                <c:pt idx="17">
                  <c:v>8.1958444460000302E-5</c:v>
                </c:pt>
              </c:numCache>
            </c:numRef>
          </c:val>
        </c:ser>
        <c:ser>
          <c:idx val="3"/>
          <c:order val="3"/>
          <c:val>
            <c:numRef>
              <c:f>Feuil1!$E$122:$E$139</c:f>
              <c:numCache>
                <c:formatCode>General</c:formatCode>
                <c:ptCount val="18"/>
                <c:pt idx="0">
                  <c:v>1.1971268097000004E-6</c:v>
                </c:pt>
                <c:pt idx="1">
                  <c:v>2.2614491230999995E-6</c:v>
                </c:pt>
                <c:pt idx="2">
                  <c:v>3.8622681099999975E-6</c:v>
                </c:pt>
                <c:pt idx="3">
                  <c:v>5.6897241300000076E-6</c:v>
                </c:pt>
                <c:pt idx="4">
                  <c:v>4.0790721036799997E-5</c:v>
                </c:pt>
                <c:pt idx="5">
                  <c:v>7.1755804069899997E-5</c:v>
                </c:pt>
                <c:pt idx="6">
                  <c:v>8.0685997139700038E-5</c:v>
                </c:pt>
                <c:pt idx="7">
                  <c:v>8.0569587995599971E-5</c:v>
                </c:pt>
                <c:pt idx="8">
                  <c:v>8.0685995038600063E-5</c:v>
                </c:pt>
                <c:pt idx="9">
                  <c:v>5.5710977909399881E-5</c:v>
                </c:pt>
                <c:pt idx="10">
                  <c:v>7.4748417814799926E-5</c:v>
                </c:pt>
                <c:pt idx="11">
                  <c:v>5.2707761057700078E-5</c:v>
                </c:pt>
                <c:pt idx="12">
                  <c:v>4.4430297106500026E-5</c:v>
                </c:pt>
                <c:pt idx="13">
                  <c:v>9.4685070058199753E-5</c:v>
                </c:pt>
                <c:pt idx="14">
                  <c:v>8.8831169812800476E-5</c:v>
                </c:pt>
                <c:pt idx="15">
                  <c:v>1.0981913560200005E-4</c:v>
                </c:pt>
                <c:pt idx="16">
                  <c:v>4.9099270797999623E-5</c:v>
                </c:pt>
                <c:pt idx="17">
                  <c:v>5.8297601612000358E-5</c:v>
                </c:pt>
              </c:numCache>
            </c:numRef>
          </c:val>
        </c:ser>
        <c:ser>
          <c:idx val="4"/>
          <c:order val="4"/>
          <c:val>
            <c:numRef>
              <c:f>Feuil1!$F$122:$F$139</c:f>
              <c:numCache>
                <c:formatCode>General</c:formatCode>
                <c:ptCount val="18"/>
                <c:pt idx="0">
                  <c:v>1.7872411703999999E-6</c:v>
                </c:pt>
                <c:pt idx="1">
                  <c:v>3.3049314256499981E-6</c:v>
                </c:pt>
                <c:pt idx="2">
                  <c:v>5.0193381046500035E-6</c:v>
                </c:pt>
                <c:pt idx="3">
                  <c:v>7.3734739892999956E-6</c:v>
                </c:pt>
                <c:pt idx="4">
                  <c:v>4.4856948211200007E-5</c:v>
                </c:pt>
                <c:pt idx="5">
                  <c:v>7.1590398677099984E-5</c:v>
                </c:pt>
                <c:pt idx="6">
                  <c:v>7.9125985311700027E-5</c:v>
                </c:pt>
                <c:pt idx="7">
                  <c:v>7.943000568799992E-5</c:v>
                </c:pt>
                <c:pt idx="8">
                  <c:v>7.8547806518400125E-5</c:v>
                </c:pt>
                <c:pt idx="9">
                  <c:v>4.9218250851100053E-5</c:v>
                </c:pt>
                <c:pt idx="10">
                  <c:v>7.1626159382500018E-5</c:v>
                </c:pt>
                <c:pt idx="11">
                  <c:v>6.1340324275599759E-5</c:v>
                </c:pt>
                <c:pt idx="12">
                  <c:v>5.0879355260400184E-5</c:v>
                </c:pt>
                <c:pt idx="13">
                  <c:v>8.2406125828799999E-5</c:v>
                </c:pt>
                <c:pt idx="14">
                  <c:v>1.1539041023520013E-4</c:v>
                </c:pt>
                <c:pt idx="15">
                  <c:v>1.0576998513799995E-4</c:v>
                </c:pt>
                <c:pt idx="16">
                  <c:v>2.1992959501999855E-5</c:v>
                </c:pt>
                <c:pt idx="17">
                  <c:v>2.9699299711999903E-5</c:v>
                </c:pt>
              </c:numCache>
            </c:numRef>
          </c:val>
        </c:ser>
        <c:ser>
          <c:idx val="5"/>
          <c:order val="5"/>
          <c:val>
            <c:numRef>
              <c:f>Feuil1!$G$122:$G$139</c:f>
              <c:numCache>
                <c:formatCode>General</c:formatCode>
                <c:ptCount val="18"/>
                <c:pt idx="0">
                  <c:v>2.2865494637250005E-6</c:v>
                </c:pt>
                <c:pt idx="1">
                  <c:v>4.1520690337999983E-6</c:v>
                </c:pt>
                <c:pt idx="2">
                  <c:v>6.1711715224750018E-6</c:v>
                </c:pt>
                <c:pt idx="3">
                  <c:v>8.765374502924999E-6</c:v>
                </c:pt>
                <c:pt idx="4">
                  <c:v>4.8092480489599998E-5</c:v>
                </c:pt>
                <c:pt idx="5">
                  <c:v>6.9540608061999991E-5</c:v>
                </c:pt>
                <c:pt idx="6">
                  <c:v>7.9086016013200011E-5</c:v>
                </c:pt>
                <c:pt idx="7">
                  <c:v>7.6370319347600016E-5</c:v>
                </c:pt>
                <c:pt idx="8">
                  <c:v>7.3784156180399854E-5</c:v>
                </c:pt>
                <c:pt idx="9">
                  <c:v>4.8381103324800223E-5</c:v>
                </c:pt>
                <c:pt idx="10">
                  <c:v>6.9583827801599797E-5</c:v>
                </c:pt>
                <c:pt idx="11">
                  <c:v>6.855963606809993E-5</c:v>
                </c:pt>
                <c:pt idx="12">
                  <c:v>3.6185541407100135E-5</c:v>
                </c:pt>
                <c:pt idx="13">
                  <c:v>8.9042100335999931E-5</c:v>
                </c:pt>
                <c:pt idx="14">
                  <c:v>9.7309763653500095E-5</c:v>
                </c:pt>
                <c:pt idx="15">
                  <c:v>1.2137274007649977E-4</c:v>
                </c:pt>
                <c:pt idx="16">
                  <c:v>1.3588966710000277E-5</c:v>
                </c:pt>
                <c:pt idx="17">
                  <c:v>1.1128302408000231E-5</c:v>
                </c:pt>
              </c:numCache>
            </c:numRef>
          </c:val>
        </c:ser>
        <c:ser>
          <c:idx val="6"/>
          <c:order val="6"/>
          <c:val>
            <c:numRef>
              <c:f>Feuil1!$H$122:$H$139</c:f>
              <c:numCache>
                <c:formatCode>General</c:formatCode>
                <c:ptCount val="18"/>
                <c:pt idx="0">
                  <c:v>2.8850217342666678E-6</c:v>
                </c:pt>
                <c:pt idx="1">
                  <c:v>4.896511750799999E-6</c:v>
                </c:pt>
                <c:pt idx="2">
                  <c:v>7.1303436647999999E-6</c:v>
                </c:pt>
                <c:pt idx="3">
                  <c:v>9.787782528900002E-6</c:v>
                </c:pt>
                <c:pt idx="4">
                  <c:v>5.0202440019900011E-5</c:v>
                </c:pt>
                <c:pt idx="5">
                  <c:v>6.9449226077999981E-5</c:v>
                </c:pt>
                <c:pt idx="6">
                  <c:v>7.5886096635600046E-5</c:v>
                </c:pt>
                <c:pt idx="7">
                  <c:v>7.8394422230099945E-5</c:v>
                </c:pt>
                <c:pt idx="8">
                  <c:v>6.6944529897899961E-5</c:v>
                </c:pt>
                <c:pt idx="9">
                  <c:v>5.0731184747100145E-5</c:v>
                </c:pt>
                <c:pt idx="10">
                  <c:v>7.4493454907299946E-5</c:v>
                </c:pt>
                <c:pt idx="11">
                  <c:v>5.2599408001599915E-5</c:v>
                </c:pt>
                <c:pt idx="12">
                  <c:v>3.8570676114599994E-5</c:v>
                </c:pt>
                <c:pt idx="13">
                  <c:v>9.861813637020015E-5</c:v>
                </c:pt>
                <c:pt idx="14">
                  <c:v>8.9332274098799665E-5</c:v>
                </c:pt>
                <c:pt idx="15">
                  <c:v>1.1283032205000024E-4</c:v>
                </c:pt>
                <c:pt idx="16">
                  <c:v>1.7012956050000078E-5</c:v>
                </c:pt>
                <c:pt idx="17">
                  <c:v>-4.3800951750004851E-6</c:v>
                </c:pt>
              </c:numCache>
            </c:numRef>
          </c:val>
        </c:ser>
        <c:ser>
          <c:idx val="7"/>
          <c:order val="7"/>
          <c:val>
            <c:numRef>
              <c:f>Feuil1!$I$122:$I$139</c:f>
              <c:numCache>
                <c:formatCode>General</c:formatCode>
                <c:ptCount val="18"/>
                <c:pt idx="0">
                  <c:v>3.5176130653000007E-6</c:v>
                </c:pt>
                <c:pt idx="1">
                  <c:v>5.7099078167000038E-6</c:v>
                </c:pt>
                <c:pt idx="2">
                  <c:v>8.0625216194999943E-6</c:v>
                </c:pt>
                <c:pt idx="3">
                  <c:v>1.0670799807700003E-5</c:v>
                </c:pt>
                <c:pt idx="4">
                  <c:v>5.1969879404800015E-5</c:v>
                </c:pt>
                <c:pt idx="5">
                  <c:v>6.7309938879999979E-5</c:v>
                </c:pt>
                <c:pt idx="6">
                  <c:v>7.4340817715200019E-5</c:v>
                </c:pt>
                <c:pt idx="7">
                  <c:v>7.3804851200000066E-5</c:v>
                </c:pt>
                <c:pt idx="8">
                  <c:v>7.188014639039988E-5</c:v>
                </c:pt>
                <c:pt idx="9">
                  <c:v>5.8360468940399997E-5</c:v>
                </c:pt>
                <c:pt idx="10">
                  <c:v>5.8443277456400123E-5</c:v>
                </c:pt>
                <c:pt idx="11">
                  <c:v>5.204214123519967E-5</c:v>
                </c:pt>
                <c:pt idx="12">
                  <c:v>4.6314226258600279E-5</c:v>
                </c:pt>
                <c:pt idx="13">
                  <c:v>1.0689216479899989E-4</c:v>
                </c:pt>
                <c:pt idx="14">
                  <c:v>8.137283894400001E-5</c:v>
                </c:pt>
                <c:pt idx="15">
                  <c:v>1.0494735191399966E-4</c:v>
                </c:pt>
                <c:pt idx="16">
                  <c:v>-1.8716821379995922E-6</c:v>
                </c:pt>
                <c:pt idx="17">
                  <c:v>-6.9961435920000512E-6</c:v>
                </c:pt>
              </c:numCache>
            </c:numRef>
          </c:val>
        </c:ser>
        <c:ser>
          <c:idx val="8"/>
          <c:order val="8"/>
          <c:val>
            <c:numRef>
              <c:f>Feuil1!$J$122:$J$139</c:f>
              <c:numCache>
                <c:formatCode>General</c:formatCode>
                <c:ptCount val="18"/>
                <c:pt idx="0">
                  <c:v>4.0269435102666638E-6</c:v>
                </c:pt>
                <c:pt idx="1">
                  <c:v>6.5402743676500052E-6</c:v>
                </c:pt>
                <c:pt idx="2">
                  <c:v>8.9303211804250014E-6</c:v>
                </c:pt>
                <c:pt idx="3">
                  <c:v>1.1059659229224998E-5</c:v>
                </c:pt>
                <c:pt idx="4">
                  <c:v>5.3592106531900005E-5</c:v>
                </c:pt>
                <c:pt idx="5">
                  <c:v>6.6451065407200033E-5</c:v>
                </c:pt>
                <c:pt idx="6">
                  <c:v>7.1868695233599935E-5</c:v>
                </c:pt>
                <c:pt idx="7">
                  <c:v>7.3730363838400096E-5</c:v>
                </c:pt>
                <c:pt idx="8">
                  <c:v>7.1961196287999903E-5</c:v>
                </c:pt>
                <c:pt idx="9">
                  <c:v>5.3067623550300111E-5</c:v>
                </c:pt>
                <c:pt idx="10">
                  <c:v>6.1253295438499882E-5</c:v>
                </c:pt>
                <c:pt idx="11">
                  <c:v>5.5097664624099995E-5</c:v>
                </c:pt>
                <c:pt idx="12">
                  <c:v>5.0478435783099995E-5</c:v>
                </c:pt>
                <c:pt idx="13">
                  <c:v>9.5198730696800056E-5</c:v>
                </c:pt>
                <c:pt idx="14">
                  <c:v>8.7058679528700337E-5</c:v>
                </c:pt>
                <c:pt idx="15">
                  <c:v>8.4599322700499658E-5</c:v>
                </c:pt>
                <c:pt idx="16">
                  <c:v>-7.3728505619998028E-6</c:v>
                </c:pt>
                <c:pt idx="17">
                  <c:v>-1.6975323072000053E-5</c:v>
                </c:pt>
              </c:numCache>
            </c:numRef>
          </c:val>
        </c:ser>
        <c:ser>
          <c:idx val="9"/>
          <c:order val="9"/>
          <c:val>
            <c:numRef>
              <c:f>Feuil1!$K$122:$K$139</c:f>
              <c:numCache>
                <c:formatCode>General</c:formatCode>
                <c:ptCount val="18"/>
                <c:pt idx="0">
                  <c:v>4.4944211203916673E-6</c:v>
                </c:pt>
                <c:pt idx="1">
                  <c:v>7.1864410915749977E-6</c:v>
                </c:pt>
                <c:pt idx="2">
                  <c:v>9.3881484279999973E-6</c:v>
                </c:pt>
                <c:pt idx="3">
                  <c:v>1.1740472948800009E-5</c:v>
                </c:pt>
                <c:pt idx="4">
                  <c:v>5.5754251872199985E-5</c:v>
                </c:pt>
                <c:pt idx="5">
                  <c:v>6.2079216658500019E-5</c:v>
                </c:pt>
                <c:pt idx="6">
                  <c:v>7.218700168209994E-5</c:v>
                </c:pt>
                <c:pt idx="7">
                  <c:v>7.6672529062100079E-5</c:v>
                </c:pt>
                <c:pt idx="8">
                  <c:v>6.2728689235499904E-5</c:v>
                </c:pt>
                <c:pt idx="9">
                  <c:v>5.5995299898299968E-5</c:v>
                </c:pt>
                <c:pt idx="10">
                  <c:v>6.2695455941700067E-5</c:v>
                </c:pt>
                <c:pt idx="11">
                  <c:v>5.707862984249989E-5</c:v>
                </c:pt>
                <c:pt idx="12">
                  <c:v>5.2949466833500185E-5</c:v>
                </c:pt>
                <c:pt idx="13">
                  <c:v>8.2406879328799807E-5</c:v>
                </c:pt>
                <c:pt idx="14">
                  <c:v>8.8639011361200232E-5</c:v>
                </c:pt>
                <c:pt idx="15">
                  <c:v>7.2360401826000037E-5</c:v>
                </c:pt>
                <c:pt idx="16">
                  <c:v>-9.6186667820003565E-6</c:v>
                </c:pt>
                <c:pt idx="17">
                  <c:v>-2.624746973799955E-5</c:v>
                </c:pt>
              </c:numCache>
            </c:numRef>
          </c:val>
        </c:ser>
        <c:ser>
          <c:idx val="10"/>
          <c:order val="10"/>
          <c:val>
            <c:numRef>
              <c:f>Feuil1!$L$122:$L$139</c:f>
              <c:numCache>
                <c:formatCode>General</c:formatCode>
                <c:ptCount val="18"/>
                <c:pt idx="0">
                  <c:v>4.9888853005500016E-6</c:v>
                </c:pt>
                <c:pt idx="1">
                  <c:v>7.4648275420250013E-6</c:v>
                </c:pt>
                <c:pt idx="2">
                  <c:v>1.004727068875E-5</c:v>
                </c:pt>
                <c:pt idx="3">
                  <c:v>1.207029488999999E-5</c:v>
                </c:pt>
                <c:pt idx="4">
                  <c:v>5.4816740002799995E-5</c:v>
                </c:pt>
                <c:pt idx="5">
                  <c:v>6.305203370999998E-5</c:v>
                </c:pt>
                <c:pt idx="6">
                  <c:v>6.6802620501599973E-5</c:v>
                </c:pt>
                <c:pt idx="7">
                  <c:v>6.6745882895600053E-5</c:v>
                </c:pt>
                <c:pt idx="8">
                  <c:v>5.9791417218399922E-5</c:v>
                </c:pt>
                <c:pt idx="9">
                  <c:v>5.3755362781600174E-5</c:v>
                </c:pt>
                <c:pt idx="10">
                  <c:v>6.0383894479999897E-5</c:v>
                </c:pt>
                <c:pt idx="11">
                  <c:v>4.6023030360000012E-5</c:v>
                </c:pt>
                <c:pt idx="12">
                  <c:v>4.0734208744000011E-5</c:v>
                </c:pt>
                <c:pt idx="13">
                  <c:v>7.4653240995200079E-5</c:v>
                </c:pt>
                <c:pt idx="14">
                  <c:v>6.8477049124799879E-5</c:v>
                </c:pt>
                <c:pt idx="15">
                  <c:v>6.6076221295999845E-5</c:v>
                </c:pt>
                <c:pt idx="16">
                  <c:v>-1.1788446759999536E-5</c:v>
                </c:pt>
                <c:pt idx="17">
                  <c:v>-2.1057849568000366E-5</c:v>
                </c:pt>
              </c:numCache>
            </c:numRef>
          </c:val>
        </c:ser>
        <c:ser>
          <c:idx val="11"/>
          <c:order val="11"/>
          <c:val>
            <c:numRef>
              <c:f>Feuil1!$M$122:$M$139</c:f>
              <c:numCache>
                <c:formatCode>General</c:formatCode>
                <c:ptCount val="18"/>
                <c:pt idx="0">
                  <c:v>4.7593900034250013E-6</c:v>
                </c:pt>
                <c:pt idx="1">
                  <c:v>7.0847947455749967E-6</c:v>
                </c:pt>
                <c:pt idx="2">
                  <c:v>9.5366085114000058E-6</c:v>
                </c:pt>
                <c:pt idx="3">
                  <c:v>1.1440949279199994E-5</c:v>
                </c:pt>
                <c:pt idx="4">
                  <c:v>5.0215943702799993E-5</c:v>
                </c:pt>
                <c:pt idx="5">
                  <c:v>5.550597598509998E-5</c:v>
                </c:pt>
                <c:pt idx="6">
                  <c:v>6.2712814193700069E-5</c:v>
                </c:pt>
                <c:pt idx="7">
                  <c:v>6.2708774677999995E-5</c:v>
                </c:pt>
                <c:pt idx="8">
                  <c:v>5.3131135542400048E-5</c:v>
                </c:pt>
                <c:pt idx="9">
                  <c:v>4.787295036479995E-5</c:v>
                </c:pt>
                <c:pt idx="10">
                  <c:v>4.8572827164800178E-5</c:v>
                </c:pt>
                <c:pt idx="11">
                  <c:v>4.5361905948099743E-5</c:v>
                </c:pt>
                <c:pt idx="12">
                  <c:v>3.7619094051900186E-5</c:v>
                </c:pt>
                <c:pt idx="13">
                  <c:v>5.2825198042800092E-5</c:v>
                </c:pt>
                <c:pt idx="14">
                  <c:v>5.2026431330699612E-5</c:v>
                </c:pt>
                <c:pt idx="15">
                  <c:v>3.9031749508500104E-5</c:v>
                </c:pt>
                <c:pt idx="16">
                  <c:v>-1.1842913659500026E-5</c:v>
                </c:pt>
                <c:pt idx="17">
                  <c:v>-1.6710323347499893E-5</c:v>
                </c:pt>
              </c:numCache>
            </c:numRef>
          </c:val>
        </c:ser>
        <c:ser>
          <c:idx val="12"/>
          <c:order val="12"/>
          <c:val>
            <c:numRef>
              <c:f>Feuil1!$N$122:$N$139</c:f>
              <c:numCache>
                <c:formatCode>General</c:formatCode>
                <c:ptCount val="18"/>
                <c:pt idx="0">
                  <c:v>4.8605981196999958E-6</c:v>
                </c:pt>
                <c:pt idx="1">
                  <c:v>7.4718917016500002E-6</c:v>
                </c:pt>
                <c:pt idx="2">
                  <c:v>9.3688628420249992E-6</c:v>
                </c:pt>
                <c:pt idx="3">
                  <c:v>1.1166951939525011E-5</c:v>
                </c:pt>
                <c:pt idx="4">
                  <c:v>4.9652266998599985E-5</c:v>
                </c:pt>
                <c:pt idx="5">
                  <c:v>5.2102759879800017E-5</c:v>
                </c:pt>
                <c:pt idx="6">
                  <c:v>5.8014933760000017E-5</c:v>
                </c:pt>
                <c:pt idx="7">
                  <c:v>5.648887872799997E-5</c:v>
                </c:pt>
                <c:pt idx="8">
                  <c:v>4.4421441552600094E-5</c:v>
                </c:pt>
                <c:pt idx="9">
                  <c:v>3.7709437149399986E-5</c:v>
                </c:pt>
                <c:pt idx="10">
                  <c:v>3.7794626061199909E-5</c:v>
                </c:pt>
                <c:pt idx="11">
                  <c:v>3.3473153869200106E-5</c:v>
                </c:pt>
                <c:pt idx="12">
                  <c:v>2.4605069520599861E-5</c:v>
                </c:pt>
                <c:pt idx="13">
                  <c:v>4.0036423339800031E-5</c:v>
                </c:pt>
                <c:pt idx="14">
                  <c:v>3.8571985555200053E-5</c:v>
                </c:pt>
                <c:pt idx="15">
                  <c:v>6.1690294159998972E-6</c:v>
                </c:pt>
                <c:pt idx="16">
                  <c:v>-5.0338434320000135E-6</c:v>
                </c:pt>
                <c:pt idx="17">
                  <c:v>-1.8424670388000062E-5</c:v>
                </c:pt>
              </c:numCache>
            </c:numRef>
          </c:val>
        </c:ser>
        <c:ser>
          <c:idx val="13"/>
          <c:order val="13"/>
          <c:val>
            <c:numRef>
              <c:f>Feuil1!$O$122:$O$139</c:f>
              <c:numCache>
                <c:formatCode>General</c:formatCode>
                <c:ptCount val="18"/>
                <c:pt idx="0">
                  <c:v>4.8548491776999995E-6</c:v>
                </c:pt>
                <c:pt idx="1">
                  <c:v>7.4756823679000017E-6</c:v>
                </c:pt>
                <c:pt idx="2">
                  <c:v>9.3815566539999879E-6</c:v>
                </c:pt>
                <c:pt idx="3">
                  <c:v>1.0715092709200005E-5</c:v>
                </c:pt>
                <c:pt idx="4">
                  <c:v>4.8192920019199993E-5</c:v>
                </c:pt>
                <c:pt idx="5">
                  <c:v>4.8538404100800011E-5</c:v>
                </c:pt>
                <c:pt idx="6">
                  <c:v>5.1501381870400122E-5</c:v>
                </c:pt>
                <c:pt idx="7">
                  <c:v>5.0635742059599903E-5</c:v>
                </c:pt>
                <c:pt idx="8">
                  <c:v>3.9848777365000023E-5</c:v>
                </c:pt>
                <c:pt idx="9">
                  <c:v>2.9823529371299999E-5</c:v>
                </c:pt>
                <c:pt idx="10">
                  <c:v>3.1913728794499851E-5</c:v>
                </c:pt>
                <c:pt idx="11">
                  <c:v>2.6884284649599975E-5</c:v>
                </c:pt>
                <c:pt idx="12">
                  <c:v>2.12120477946002E-5</c:v>
                </c:pt>
                <c:pt idx="13">
                  <c:v>3.2242867066200069E-5</c:v>
                </c:pt>
                <c:pt idx="14">
                  <c:v>2.5325336722799904E-5</c:v>
                </c:pt>
                <c:pt idx="15">
                  <c:v>1.1609400377999895E-5</c:v>
                </c:pt>
                <c:pt idx="16">
                  <c:v>-5.6340579420000145E-6</c:v>
                </c:pt>
                <c:pt idx="17">
                  <c:v>-6.4947866487000084E-5</c:v>
                </c:pt>
              </c:numCache>
            </c:numRef>
          </c:val>
        </c:ser>
        <c:ser>
          <c:idx val="14"/>
          <c:order val="14"/>
          <c:val>
            <c:numRef>
              <c:f>Feuil1!$P$122:$P$139</c:f>
              <c:numCache>
                <c:formatCode>General</c:formatCode>
                <c:ptCount val="18"/>
                <c:pt idx="0">
                  <c:v>4.9960739389000001E-6</c:v>
                </c:pt>
                <c:pt idx="1">
                  <c:v>7.7766630817999996E-6</c:v>
                </c:pt>
                <c:pt idx="2">
                  <c:v>9.2188850364750037E-6</c:v>
                </c:pt>
                <c:pt idx="3">
                  <c:v>1.0477519159424978E-5</c:v>
                </c:pt>
                <c:pt idx="4">
                  <c:v>4.6752602040900005E-5</c:v>
                </c:pt>
                <c:pt idx="5">
                  <c:v>4.6918429807800015E-5</c:v>
                </c:pt>
                <c:pt idx="6">
                  <c:v>4.5937153507200025E-5</c:v>
                </c:pt>
                <c:pt idx="7">
                  <c:v>4.3432516727999948E-5</c:v>
                </c:pt>
                <c:pt idx="8">
                  <c:v>3.3029406777600033E-5</c:v>
                </c:pt>
                <c:pt idx="9">
                  <c:v>2.7389997734399932E-5</c:v>
                </c:pt>
                <c:pt idx="10">
                  <c:v>2.7710464320000055E-5</c:v>
                </c:pt>
                <c:pt idx="11">
                  <c:v>1.9979730562499974E-5</c:v>
                </c:pt>
                <c:pt idx="12">
                  <c:v>2.0087900462499987E-5</c:v>
                </c:pt>
                <c:pt idx="13">
                  <c:v>2.8222186176200001E-5</c:v>
                </c:pt>
                <c:pt idx="14">
                  <c:v>2.1448889422800142E-5</c:v>
                </c:pt>
                <c:pt idx="15">
                  <c:v>7.5425913680000098E-6</c:v>
                </c:pt>
                <c:pt idx="16">
                  <c:v>-4.7282583489500151E-5</c:v>
                </c:pt>
                <c:pt idx="17">
                  <c:v>-5.8133298010499938E-5</c:v>
                </c:pt>
              </c:numCache>
            </c:numRef>
          </c:val>
        </c:ser>
        <c:dLbls/>
        <c:axId val="124051840"/>
        <c:axId val="124053376"/>
        <c:axId val="124009536"/>
      </c:area3DChart>
      <c:catAx>
        <c:axId val="124051840"/>
        <c:scaling>
          <c:orientation val="minMax"/>
        </c:scaling>
        <c:axPos val="b"/>
        <c:tickLblPos val="nextTo"/>
        <c:crossAx val="124053376"/>
        <c:crosses val="autoZero"/>
        <c:auto val="1"/>
        <c:lblAlgn val="ctr"/>
        <c:lblOffset val="100"/>
      </c:catAx>
      <c:valAx>
        <c:axId val="124053376"/>
        <c:scaling>
          <c:orientation val="minMax"/>
        </c:scaling>
        <c:axPos val="l"/>
        <c:majorGridlines/>
        <c:numFmt formatCode="General" sourceLinked="1"/>
        <c:tickLblPos val="nextTo"/>
        <c:crossAx val="124051840"/>
        <c:crosses val="autoZero"/>
        <c:crossBetween val="midCat"/>
      </c:valAx>
      <c:serAx>
        <c:axId val="124009536"/>
        <c:scaling>
          <c:orientation val="minMax"/>
        </c:scaling>
        <c:axPos val="b"/>
        <c:tickLblPos val="nextTo"/>
        <c:crossAx val="124053376"/>
        <c:crosses val="autoZero"/>
      </c:serAx>
    </c:plotArea>
    <c:legend>
      <c:legendPos val="r"/>
      <c:layout/>
    </c:legend>
    <c:plotVisOnly val="1"/>
    <c:dispBlanksAs val="zero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smoothMarker"/>
        <c:ser>
          <c:idx val="0"/>
          <c:order val="0"/>
          <c:xVal>
            <c:numRef>
              <c:f>Feuil1!$A$122:$A$139</c:f>
              <c:numCache>
                <c:formatCode>General</c:formatCode>
                <c:ptCount val="18"/>
                <c:pt idx="0">
                  <c:v>8.3333333333333329E-2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15</c:v>
                </c:pt>
                <c:pt idx="16">
                  <c:v>20</c:v>
                </c:pt>
                <c:pt idx="17">
                  <c:v>25</c:v>
                </c:pt>
              </c:numCache>
            </c:numRef>
          </c:xVal>
          <c:yVal>
            <c:numRef>
              <c:f>Feuil1!$B$122:$B$139</c:f>
              <c:numCache>
                <c:formatCode>General</c:formatCode>
                <c:ptCount val="18"/>
                <c:pt idx="0">
                  <c:v>3.3543637519166653E-7</c:v>
                </c:pt>
                <c:pt idx="1">
                  <c:v>5.5860856077500006E-7</c:v>
                </c:pt>
                <c:pt idx="2">
                  <c:v>9.9500360879999992E-7</c:v>
                </c:pt>
                <c:pt idx="3">
                  <c:v>1.4348569488000003E-6</c:v>
                </c:pt>
                <c:pt idx="4">
                  <c:v>1.7804027176200002E-5</c:v>
                </c:pt>
                <c:pt idx="5">
                  <c:v>6.2407077104999998E-5</c:v>
                </c:pt>
                <c:pt idx="6">
                  <c:v>9.5386889551200005E-5</c:v>
                </c:pt>
                <c:pt idx="7">
                  <c:v>8.6585911559999954E-5</c:v>
                </c:pt>
                <c:pt idx="8">
                  <c:v>1.0128615292500005E-4</c:v>
                </c:pt>
                <c:pt idx="9">
                  <c:v>5.6781549715800058E-5</c:v>
                </c:pt>
                <c:pt idx="10">
                  <c:v>9.3096358189200066E-5</c:v>
                </c:pt>
                <c:pt idx="11">
                  <c:v>6.1501329359999932E-5</c:v>
                </c:pt>
                <c:pt idx="12">
                  <c:v>3.9224492783999833E-5</c:v>
                </c:pt>
                <c:pt idx="13">
                  <c:v>5.9400149155200161E-5</c:v>
                </c:pt>
                <c:pt idx="14">
                  <c:v>1.9159593676799816E-5</c:v>
                </c:pt>
                <c:pt idx="15">
                  <c:v>1.283492404560002E-4</c:v>
                </c:pt>
                <c:pt idx="16">
                  <c:v>1.059690658904999E-4</c:v>
                </c:pt>
                <c:pt idx="17">
                  <c:v>1.6675192448550044E-4</c:v>
                </c:pt>
              </c:numCache>
            </c:numRef>
          </c:yVal>
          <c:smooth val="1"/>
        </c:ser>
        <c:dLbls/>
        <c:axId val="124131968"/>
        <c:axId val="124154240"/>
      </c:scatterChart>
      <c:valAx>
        <c:axId val="124131968"/>
        <c:scaling>
          <c:orientation val="minMax"/>
        </c:scaling>
        <c:axPos val="b"/>
        <c:numFmt formatCode="General" sourceLinked="1"/>
        <c:tickLblPos val="nextTo"/>
        <c:crossAx val="124154240"/>
        <c:crosses val="autoZero"/>
        <c:crossBetween val="midCat"/>
      </c:valAx>
      <c:valAx>
        <c:axId val="124154240"/>
        <c:scaling>
          <c:orientation val="minMax"/>
        </c:scaling>
        <c:axPos val="l"/>
        <c:majorGridlines/>
        <c:numFmt formatCode="General" sourceLinked="1"/>
        <c:tickLblPos val="nextTo"/>
        <c:crossAx val="124131968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Feuil1!$B$129:$P$129</c:f>
              <c:numCache>
                <c:formatCode>General</c:formatCode>
                <c:ptCount val="15"/>
                <c:pt idx="0">
                  <c:v>8.6585911559999954E-5</c:v>
                </c:pt>
                <c:pt idx="1">
                  <c:v>8.917287300360004E-5</c:v>
                </c:pt>
                <c:pt idx="2">
                  <c:v>8.5566270752000085E-5</c:v>
                </c:pt>
                <c:pt idx="3">
                  <c:v>8.0569587995599971E-5</c:v>
                </c:pt>
                <c:pt idx="4">
                  <c:v>7.943000568799992E-5</c:v>
                </c:pt>
                <c:pt idx="5">
                  <c:v>7.6370319347600016E-5</c:v>
                </c:pt>
                <c:pt idx="6">
                  <c:v>7.8394422230099945E-5</c:v>
                </c:pt>
                <c:pt idx="7">
                  <c:v>7.3804851200000066E-5</c:v>
                </c:pt>
                <c:pt idx="8">
                  <c:v>7.3730363838400096E-5</c:v>
                </c:pt>
                <c:pt idx="9">
                  <c:v>7.6672529062100079E-5</c:v>
                </c:pt>
                <c:pt idx="10">
                  <c:v>6.6745882895600053E-5</c:v>
                </c:pt>
                <c:pt idx="11">
                  <c:v>6.2708774677999995E-5</c:v>
                </c:pt>
                <c:pt idx="12">
                  <c:v>5.648887872799997E-5</c:v>
                </c:pt>
                <c:pt idx="13">
                  <c:v>5.0635742059599903E-5</c:v>
                </c:pt>
                <c:pt idx="14">
                  <c:v>4.3432516727999948E-5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Feuil1!$B$130:$P$130</c:f>
              <c:numCache>
                <c:formatCode>General</c:formatCode>
                <c:ptCount val="15"/>
                <c:pt idx="0">
                  <c:v>1.0128615292500005E-4</c:v>
                </c:pt>
                <c:pt idx="1">
                  <c:v>9.4064039789999948E-5</c:v>
                </c:pt>
                <c:pt idx="2">
                  <c:v>8.6609592441599871E-5</c:v>
                </c:pt>
                <c:pt idx="3">
                  <c:v>8.0685995038600063E-5</c:v>
                </c:pt>
                <c:pt idx="4">
                  <c:v>7.8547806518400125E-5</c:v>
                </c:pt>
                <c:pt idx="5">
                  <c:v>7.3784156180399854E-5</c:v>
                </c:pt>
                <c:pt idx="6">
                  <c:v>6.6944529897899961E-5</c:v>
                </c:pt>
                <c:pt idx="7">
                  <c:v>7.188014639039988E-5</c:v>
                </c:pt>
                <c:pt idx="8">
                  <c:v>7.1961196287999903E-5</c:v>
                </c:pt>
                <c:pt idx="9">
                  <c:v>6.2728689235499904E-5</c:v>
                </c:pt>
                <c:pt idx="10">
                  <c:v>5.9791417218399922E-5</c:v>
                </c:pt>
                <c:pt idx="11">
                  <c:v>5.3131135542400048E-5</c:v>
                </c:pt>
                <c:pt idx="12">
                  <c:v>4.4421441552600094E-5</c:v>
                </c:pt>
                <c:pt idx="13">
                  <c:v>3.9848777365000023E-5</c:v>
                </c:pt>
                <c:pt idx="14">
                  <c:v>3.3029406777600033E-5</c:v>
                </c:pt>
              </c:numCache>
            </c:numRef>
          </c:val>
        </c:ser>
        <c:dLbls/>
        <c:marker val="1"/>
        <c:axId val="124171392"/>
        <c:axId val="124172928"/>
      </c:lineChart>
      <c:catAx>
        <c:axId val="124171392"/>
        <c:scaling>
          <c:orientation val="minMax"/>
        </c:scaling>
        <c:axPos val="b"/>
        <c:tickLblPos val="nextTo"/>
        <c:crossAx val="124172928"/>
        <c:crosses val="autoZero"/>
        <c:auto val="1"/>
        <c:lblAlgn val="ctr"/>
        <c:lblOffset val="100"/>
      </c:catAx>
      <c:valAx>
        <c:axId val="124172928"/>
        <c:scaling>
          <c:orientation val="minMax"/>
        </c:scaling>
        <c:axPos val="l"/>
        <c:majorGridlines/>
        <c:numFmt formatCode="General" sourceLinked="1"/>
        <c:tickLblPos val="nextTo"/>
        <c:crossAx val="124171392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smoothMarker"/>
        <c:ser>
          <c:idx val="0"/>
          <c:order val="0"/>
          <c:xVal>
            <c:numRef>
              <c:f>Feuil1!$A$98:$A$116</c:f>
              <c:numCache>
                <c:formatCode>General</c:formatCode>
                <c:ptCount val="19"/>
                <c:pt idx="0">
                  <c:v>8.3333333333333329E-2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15</c:v>
                </c:pt>
                <c:pt idx="16">
                  <c:v>20</c:v>
                </c:pt>
                <c:pt idx="17">
                  <c:v>25</c:v>
                </c:pt>
                <c:pt idx="18">
                  <c:v>30</c:v>
                </c:pt>
              </c:numCache>
            </c:numRef>
          </c:xVal>
          <c:yVal>
            <c:numRef>
              <c:f>Feuil1!$B$98:$B$116</c:f>
              <c:numCache>
                <c:formatCode>General</c:formatCode>
                <c:ptCount val="19"/>
                <c:pt idx="0">
                  <c:v>1.9081956403333333E-7</c:v>
                </c:pt>
                <c:pt idx="1">
                  <c:v>5.2625593922499989E-7</c:v>
                </c:pt>
                <c:pt idx="2">
                  <c:v>1.0848645E-6</c:v>
                </c:pt>
                <c:pt idx="3">
                  <c:v>2.0798681087999999E-6</c:v>
                </c:pt>
                <c:pt idx="4">
                  <c:v>3.5147250576000002E-6</c:v>
                </c:pt>
                <c:pt idx="5">
                  <c:v>2.1318752233800001E-5</c:v>
                </c:pt>
                <c:pt idx="6">
                  <c:v>8.3725829338800002E-5</c:v>
                </c:pt>
                <c:pt idx="7">
                  <c:v>1.7911271889000001E-4</c:v>
                </c:pt>
                <c:pt idx="8">
                  <c:v>2.6569863044999996E-4</c:v>
                </c:pt>
                <c:pt idx="9">
                  <c:v>3.6698478337500001E-4</c:v>
                </c:pt>
                <c:pt idx="10">
                  <c:v>4.2376633309080007E-4</c:v>
                </c:pt>
                <c:pt idx="11">
                  <c:v>5.1686269128000013E-4</c:v>
                </c:pt>
                <c:pt idx="12">
                  <c:v>5.7836402064000007E-4</c:v>
                </c:pt>
                <c:pt idx="13">
                  <c:v>6.175885134239999E-4</c:v>
                </c:pt>
                <c:pt idx="14">
                  <c:v>6.7698866257920006E-4</c:v>
                </c:pt>
                <c:pt idx="15">
                  <c:v>6.9614825625599988E-4</c:v>
                </c:pt>
                <c:pt idx="16">
                  <c:v>8.2449749671200008E-4</c:v>
                </c:pt>
                <c:pt idx="17">
                  <c:v>9.3046656260249998E-4</c:v>
                </c:pt>
                <c:pt idx="18">
                  <c:v>1.0972184870880004E-3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Feuil1!$A$98:$A$116</c:f>
              <c:numCache>
                <c:formatCode>General</c:formatCode>
                <c:ptCount val="19"/>
                <c:pt idx="0">
                  <c:v>8.3333333333333329E-2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15</c:v>
                </c:pt>
                <c:pt idx="16">
                  <c:v>20</c:v>
                </c:pt>
                <c:pt idx="17">
                  <c:v>25</c:v>
                </c:pt>
                <c:pt idx="18">
                  <c:v>30</c:v>
                </c:pt>
              </c:numCache>
            </c:numRef>
          </c:xVal>
          <c:yVal>
            <c:numRef>
              <c:f>Feuil1!$C$98:$C$116</c:f>
              <c:numCache>
                <c:formatCode>General</c:formatCode>
                <c:ptCount val="19"/>
                <c:pt idx="0">
                  <c:v>2.093415168E-7</c:v>
                </c:pt>
                <c:pt idx="1">
                  <c:v>6.6308449000000001E-7</c:v>
                </c:pt>
                <c:pt idx="2">
                  <c:v>1.5419084832000001E-6</c:v>
                </c:pt>
                <c:pt idx="3">
                  <c:v>3.2651116875000006E-6</c:v>
                </c:pt>
                <c:pt idx="4">
                  <c:v>6.0306589475999991E-6</c:v>
                </c:pt>
                <c:pt idx="5">
                  <c:v>3.5173903884799999E-5</c:v>
                </c:pt>
                <c:pt idx="6">
                  <c:v>1.035429975363E-4</c:v>
                </c:pt>
                <c:pt idx="7">
                  <c:v>1.9304545904639996E-4</c:v>
                </c:pt>
                <c:pt idx="8">
                  <c:v>2.8221833205E-4</c:v>
                </c:pt>
                <c:pt idx="9">
                  <c:v>3.7628237183999995E-4</c:v>
                </c:pt>
                <c:pt idx="10">
                  <c:v>4.2980601059829993E-4</c:v>
                </c:pt>
                <c:pt idx="11">
                  <c:v>5.1731419830480004E-4</c:v>
                </c:pt>
                <c:pt idx="12">
                  <c:v>5.8170638358810006E-4</c:v>
                </c:pt>
                <c:pt idx="13">
                  <c:v>6.2021925160000014E-4</c:v>
                </c:pt>
                <c:pt idx="14">
                  <c:v>7.0619717099520008E-4</c:v>
                </c:pt>
                <c:pt idx="15">
                  <c:v>7.3292247015000042E-4</c:v>
                </c:pt>
                <c:pt idx="16">
                  <c:v>8.6443892871199992E-4</c:v>
                </c:pt>
                <c:pt idx="17">
                  <c:v>9.5872904322249998E-4</c:v>
                </c:pt>
                <c:pt idx="18">
                  <c:v>1.0625534338680001E-3</c:v>
                </c:pt>
              </c:numCache>
            </c:numRef>
          </c:yVal>
          <c:smooth val="1"/>
        </c:ser>
        <c:dLbls/>
        <c:axId val="124214656"/>
        <c:axId val="124224640"/>
      </c:scatterChart>
      <c:valAx>
        <c:axId val="124214656"/>
        <c:scaling>
          <c:orientation val="minMax"/>
        </c:scaling>
        <c:axPos val="b"/>
        <c:numFmt formatCode="General" sourceLinked="1"/>
        <c:tickLblPos val="nextTo"/>
        <c:crossAx val="124224640"/>
        <c:crosses val="autoZero"/>
        <c:crossBetween val="midCat"/>
      </c:valAx>
      <c:valAx>
        <c:axId val="124224640"/>
        <c:scaling>
          <c:orientation val="minMax"/>
        </c:scaling>
        <c:axPos val="l"/>
        <c:majorGridlines/>
        <c:numFmt formatCode="General" sourceLinked="1"/>
        <c:tickLblPos val="nextTo"/>
        <c:crossAx val="124214656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Feuil1!$B$98:$M$98</c:f>
              <c:numCache>
                <c:formatCode>General</c:formatCode>
                <c:ptCount val="12"/>
                <c:pt idx="0">
                  <c:v>1.9081956403333333E-7</c:v>
                </c:pt>
                <c:pt idx="1">
                  <c:v>2.093415168E-7</c:v>
                </c:pt>
                <c:pt idx="2">
                  <c:v>3.3382017763333343E-7</c:v>
                </c:pt>
                <c:pt idx="3">
                  <c:v>5.4361038719999989E-7</c:v>
                </c:pt>
                <c:pt idx="4">
                  <c:v>7.855106700000002E-7</c:v>
                </c:pt>
                <c:pt idx="5">
                  <c:v>1.0605939666749999E-6</c:v>
                </c:pt>
                <c:pt idx="6">
                  <c:v>1.4055933701333332E-6</c:v>
                </c:pt>
                <c:pt idx="7">
                  <c:v>1.7416576908E-6</c:v>
                </c:pt>
                <c:pt idx="8">
                  <c:v>2.0643766533333333E-6</c:v>
                </c:pt>
                <c:pt idx="9">
                  <c:v>2.3596861408333332E-6</c:v>
                </c:pt>
                <c:pt idx="10">
                  <c:v>2.6594644686749993E-6</c:v>
                </c:pt>
                <c:pt idx="11">
                  <c:v>2.6190858287999992E-6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Feuil1!$B$99:$M$99</c:f>
              <c:numCache>
                <c:formatCode>General</c:formatCode>
                <c:ptCount val="12"/>
                <c:pt idx="0">
                  <c:v>5.2625593922499989E-7</c:v>
                </c:pt>
                <c:pt idx="1">
                  <c:v>6.6308449000000001E-7</c:v>
                </c:pt>
                <c:pt idx="2">
                  <c:v>1.1172067204000002E-6</c:v>
                </c:pt>
                <c:pt idx="3">
                  <c:v>1.7407371969000002E-6</c:v>
                </c:pt>
                <c:pt idx="4">
                  <c:v>2.5727518404000003E-6</c:v>
                </c:pt>
                <c:pt idx="5">
                  <c:v>3.3471434304000006E-6</c:v>
                </c:pt>
                <c:pt idx="6">
                  <c:v>4.2906151044000009E-6</c:v>
                </c:pt>
                <c:pt idx="7">
                  <c:v>5.2592707561000007E-6</c:v>
                </c:pt>
                <c:pt idx="8">
                  <c:v>6.0913201635999975E-6</c:v>
                </c:pt>
                <c:pt idx="9">
                  <c:v>6.8541072612250009E-6</c:v>
                </c:pt>
                <c:pt idx="10">
                  <c:v>7.6483497692250004E-6</c:v>
                </c:pt>
                <c:pt idx="11">
                  <c:v>7.3784758322250001E-6</c:v>
                </c:pt>
              </c:numCache>
            </c:numRef>
          </c:val>
        </c:ser>
        <c:ser>
          <c:idx val="2"/>
          <c:order val="2"/>
          <c:marker>
            <c:symbol val="none"/>
          </c:marker>
          <c:val>
            <c:numRef>
              <c:f>Feuil1!$B$100:$M$100</c:f>
              <c:numCache>
                <c:formatCode>General</c:formatCode>
                <c:ptCount val="12"/>
                <c:pt idx="0">
                  <c:v>1.0848645E-6</c:v>
                </c:pt>
                <c:pt idx="1">
                  <c:v>1.5419084832000001E-6</c:v>
                </c:pt>
                <c:pt idx="2">
                  <c:v>2.6054052992000005E-6</c:v>
                </c:pt>
                <c:pt idx="3">
                  <c:v>4.0021863199999999E-6</c:v>
                </c:pt>
                <c:pt idx="4">
                  <c:v>5.8776832660499984E-6</c:v>
                </c:pt>
                <c:pt idx="5">
                  <c:v>7.4992124641999993E-6</c:v>
                </c:pt>
                <c:pt idx="6">
                  <c:v>9.1871268551999999E-6</c:v>
                </c:pt>
                <c:pt idx="7">
                  <c:v>1.0969178572800005E-5</c:v>
                </c:pt>
                <c:pt idx="8">
                  <c:v>1.2631594531250003E-5</c:v>
                </c:pt>
                <c:pt idx="9">
                  <c:v>1.4040548352799999E-5</c:v>
                </c:pt>
                <c:pt idx="10">
                  <c:v>1.5113177311250002E-5</c:v>
                </c:pt>
                <c:pt idx="11">
                  <c:v>1.4463270577799997E-5</c:v>
                </c:pt>
              </c:numCache>
            </c:numRef>
          </c:val>
        </c:ser>
        <c:dLbls/>
        <c:marker val="1"/>
        <c:axId val="124246656"/>
        <c:axId val="124252544"/>
      </c:lineChart>
      <c:catAx>
        <c:axId val="124246656"/>
        <c:scaling>
          <c:orientation val="minMax"/>
        </c:scaling>
        <c:axPos val="b"/>
        <c:tickLblPos val="nextTo"/>
        <c:crossAx val="124252544"/>
        <c:crosses val="autoZero"/>
        <c:auto val="1"/>
        <c:lblAlgn val="ctr"/>
        <c:lblOffset val="100"/>
      </c:catAx>
      <c:valAx>
        <c:axId val="124252544"/>
        <c:scaling>
          <c:orientation val="minMax"/>
        </c:scaling>
        <c:axPos val="l"/>
        <c:majorGridlines/>
        <c:numFmt formatCode="General" sourceLinked="1"/>
        <c:tickLblPos val="nextTo"/>
        <c:crossAx val="124246656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smoothMarker"/>
        <c:ser>
          <c:idx val="0"/>
          <c:order val="0"/>
          <c:xVal>
            <c:numRef>
              <c:f>Feuil1!$A$149:$A$164</c:f>
              <c:numCache>
                <c:formatCode>General</c:formatCode>
                <c:ptCount val="16"/>
                <c:pt idx="0">
                  <c:v>8.3333333333333329E-2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15</c:v>
                </c:pt>
              </c:numCache>
            </c:numRef>
          </c:xVal>
          <c:yVal>
            <c:numRef>
              <c:f>Feuil1!$B$149:$B$164</c:f>
              <c:numCache>
                <c:formatCode>General</c:formatCode>
                <c:ptCount val="16"/>
                <c:pt idx="0">
                  <c:v>2.2689603333333336E-2</c:v>
                </c:pt>
                <c:pt idx="1">
                  <c:v>6.2575022499999994E-2</c:v>
                </c:pt>
                <c:pt idx="2">
                  <c:v>0.12054049999999999</c:v>
                </c:pt>
                <c:pt idx="3">
                  <c:v>0.20311211999999998</c:v>
                </c:pt>
                <c:pt idx="4">
                  <c:v>0.30404196</c:v>
                </c:pt>
                <c:pt idx="5">
                  <c:v>0.88791138000000003</c:v>
                </c:pt>
                <c:pt idx="6">
                  <c:v>1.5289596299999999</c:v>
                </c:pt>
                <c:pt idx="7">
                  <c:v>1.62460516</c:v>
                </c:pt>
                <c:pt idx="8">
                  <c:v>1.3364449999999999</c:v>
                </c:pt>
                <c:pt idx="9">
                  <c:v>1.1983176599999998</c:v>
                </c:pt>
                <c:pt idx="10">
                  <c:v>0.99860103000000011</c:v>
                </c:pt>
                <c:pt idx="11">
                  <c:v>0.98560800000000015</c:v>
                </c:pt>
                <c:pt idx="12">
                  <c:v>0.96353855999999993</c:v>
                </c:pt>
                <c:pt idx="13">
                  <c:v>0.92781159999999985</c:v>
                </c:pt>
                <c:pt idx="14">
                  <c:v>1.03300272</c:v>
                </c:pt>
                <c:pt idx="15">
                  <c:v>1.1692896000000002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Feuil1!$A$149:$A$164</c:f>
              <c:numCache>
                <c:formatCode>General</c:formatCode>
                <c:ptCount val="16"/>
                <c:pt idx="0">
                  <c:v>8.3333333333333329E-2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15</c:v>
                </c:pt>
              </c:numCache>
            </c:numRef>
          </c:xVal>
          <c:yVal>
            <c:numRef>
              <c:f>Feuil1!$C$149:$C$164</c:f>
              <c:numCache>
                <c:formatCode>General</c:formatCode>
                <c:ptCount val="16"/>
                <c:pt idx="0">
                  <c:v>2.0443507499999999E-2</c:v>
                </c:pt>
                <c:pt idx="1">
                  <c:v>5.7360249999999995E-2</c:v>
                </c:pt>
                <c:pt idx="2">
                  <c:v>0.11897442000000001</c:v>
                </c:pt>
                <c:pt idx="3">
                  <c:v>0.21466875000000002</c:v>
                </c:pt>
                <c:pt idx="4">
                  <c:v>0.34187409000000002</c:v>
                </c:pt>
                <c:pt idx="5">
                  <c:v>0.91503392000000006</c:v>
                </c:pt>
                <c:pt idx="6">
                  <c:v>1.3071960300000001</c:v>
                </c:pt>
                <c:pt idx="7">
                  <c:v>1.2759961599999998</c:v>
                </c:pt>
                <c:pt idx="8">
                  <c:v>1.1305012499999998</c:v>
                </c:pt>
                <c:pt idx="9">
                  <c:v>1.0423334399999999</c:v>
                </c:pt>
                <c:pt idx="10">
                  <c:v>0.91275246999999982</c:v>
                </c:pt>
                <c:pt idx="11">
                  <c:v>0.92099591999999997</c:v>
                </c:pt>
                <c:pt idx="12">
                  <c:v>0.92332881000000022</c:v>
                </c:pt>
                <c:pt idx="13">
                  <c:v>0.91748410000000002</c:v>
                </c:pt>
                <c:pt idx="14">
                  <c:v>1.02878208</c:v>
                </c:pt>
                <c:pt idx="15">
                  <c:v>1.2013350000000003</c:v>
                </c:pt>
              </c:numCache>
            </c:numRef>
          </c:yVal>
          <c:smooth val="1"/>
        </c:ser>
        <c:ser>
          <c:idx val="2"/>
          <c:order val="2"/>
          <c:xVal>
            <c:numRef>
              <c:f>Feuil1!$A$149:$A$164</c:f>
              <c:numCache>
                <c:formatCode>General</c:formatCode>
                <c:ptCount val="16"/>
                <c:pt idx="0">
                  <c:v>8.3333333333333329E-2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15</c:v>
                </c:pt>
              </c:numCache>
            </c:numRef>
          </c:xVal>
          <c:yVal>
            <c:numRef>
              <c:f>Feuil1!$D$149:$D$164</c:f>
              <c:numCache>
                <c:formatCode>General</c:formatCode>
                <c:ptCount val="16"/>
                <c:pt idx="0">
                  <c:v>2.3117740833333338E-2</c:v>
                </c:pt>
                <c:pt idx="1">
                  <c:v>6.6460840000000021E-2</c:v>
                </c:pt>
                <c:pt idx="2">
                  <c:v>0.13457672000000001</c:v>
                </c:pt>
                <c:pt idx="3">
                  <c:v>0.2296056675</c:v>
                </c:pt>
                <c:pt idx="4">
                  <c:v>0.34774609000000001</c:v>
                </c:pt>
                <c:pt idx="5">
                  <c:v>0.783752</c:v>
                </c:pt>
                <c:pt idx="6">
                  <c:v>1.0347638699999999</c:v>
                </c:pt>
                <c:pt idx="7">
                  <c:v>1.0128409599999999</c:v>
                </c:pt>
                <c:pt idx="8">
                  <c:v>0.93831120000000023</c:v>
                </c:pt>
                <c:pt idx="9">
                  <c:v>0.89954303999999996</c:v>
                </c:pt>
                <c:pt idx="10">
                  <c:v>0.82883366999999986</c:v>
                </c:pt>
                <c:pt idx="11">
                  <c:v>0.85020800000000007</c:v>
                </c:pt>
                <c:pt idx="12">
                  <c:v>0.86936975999999988</c:v>
                </c:pt>
                <c:pt idx="13">
                  <c:v>0.88625290000000012</c:v>
                </c:pt>
                <c:pt idx="14">
                  <c:v>0.99878700000000031</c:v>
                </c:pt>
                <c:pt idx="15">
                  <c:v>1.2030336000000001</c:v>
                </c:pt>
              </c:numCache>
            </c:numRef>
          </c:yVal>
          <c:smooth val="1"/>
        </c:ser>
        <c:ser>
          <c:idx val="3"/>
          <c:order val="3"/>
          <c:xVal>
            <c:numRef>
              <c:f>Feuil1!$A$149:$A$164</c:f>
              <c:numCache>
                <c:formatCode>General</c:formatCode>
                <c:ptCount val="16"/>
                <c:pt idx="0">
                  <c:v>8.3333333333333329E-2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12</c:v>
                </c:pt>
                <c:pt idx="15">
                  <c:v>15</c:v>
                </c:pt>
              </c:numCache>
            </c:numRef>
          </c:xVal>
          <c:yVal>
            <c:numRef>
              <c:f>Feuil1!$E$149:$E$164</c:f>
              <c:numCache>
                <c:formatCode>General</c:formatCode>
                <c:ptCount val="16"/>
                <c:pt idx="0">
                  <c:v>2.3594200833333332E-2</c:v>
                </c:pt>
                <c:pt idx="1">
                  <c:v>6.6925689999999996E-2</c:v>
                </c:pt>
                <c:pt idx="2">
                  <c:v>0.13230367999999998</c:v>
                </c:pt>
                <c:pt idx="3">
                  <c:v>0.21845706749999994</c:v>
                </c:pt>
                <c:pt idx="4">
                  <c:v>0.32080896000000003</c:v>
                </c:pt>
                <c:pt idx="5">
                  <c:v>0.64207112</c:v>
                </c:pt>
                <c:pt idx="6">
                  <c:v>0.83350323000000004</c:v>
                </c:pt>
                <c:pt idx="7">
                  <c:v>0.84971524000000009</c:v>
                </c:pt>
                <c:pt idx="8">
                  <c:v>0.82174579999999997</c:v>
                </c:pt>
                <c:pt idx="9">
                  <c:v>0.81121974000000019</c:v>
                </c:pt>
                <c:pt idx="10">
                  <c:v>0.77389375000000005</c:v>
                </c:pt>
                <c:pt idx="11">
                  <c:v>0.81051911999999982</c:v>
                </c:pt>
                <c:pt idx="12">
                  <c:v>0.84768849000000002</c:v>
                </c:pt>
                <c:pt idx="13">
                  <c:v>0.87438490000000013</c:v>
                </c:pt>
                <c:pt idx="14">
                  <c:v>1.0133803199999998</c:v>
                </c:pt>
                <c:pt idx="15">
                  <c:v>1.2269400000000004</c:v>
                </c:pt>
              </c:numCache>
            </c:numRef>
          </c:yVal>
          <c:smooth val="1"/>
        </c:ser>
        <c:axId val="92866816"/>
        <c:axId val="92865280"/>
      </c:scatterChart>
      <c:valAx>
        <c:axId val="92866816"/>
        <c:scaling>
          <c:orientation val="minMax"/>
        </c:scaling>
        <c:axPos val="b"/>
        <c:numFmt formatCode="General" sourceLinked="1"/>
        <c:tickLblPos val="nextTo"/>
        <c:crossAx val="92865280"/>
        <c:crosses val="autoZero"/>
        <c:crossBetween val="midCat"/>
      </c:valAx>
      <c:valAx>
        <c:axId val="92865280"/>
        <c:scaling>
          <c:orientation val="minMax"/>
        </c:scaling>
        <c:axPos val="l"/>
        <c:majorGridlines/>
        <c:numFmt formatCode="General" sourceLinked="1"/>
        <c:tickLblPos val="nextTo"/>
        <c:crossAx val="9286681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728382</xdr:colOff>
      <xdr:row>68</xdr:row>
      <xdr:rowOff>78441</xdr:rowOff>
    </xdr:from>
    <xdr:to>
      <xdr:col>22</xdr:col>
      <xdr:colOff>627529</xdr:colOff>
      <xdr:row>89</xdr:row>
      <xdr:rowOff>123265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470646</xdr:colOff>
      <xdr:row>46</xdr:row>
      <xdr:rowOff>22412</xdr:rowOff>
    </xdr:from>
    <xdr:to>
      <xdr:col>22</xdr:col>
      <xdr:colOff>705971</xdr:colOff>
      <xdr:row>66</xdr:row>
      <xdr:rowOff>67236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11206</xdr:colOff>
      <xdr:row>100</xdr:row>
      <xdr:rowOff>123265</xdr:rowOff>
    </xdr:from>
    <xdr:to>
      <xdr:col>21</xdr:col>
      <xdr:colOff>425824</xdr:colOff>
      <xdr:row>116</xdr:row>
      <xdr:rowOff>134471</xdr:rowOff>
    </xdr:to>
    <xdr:graphicFrame macro="">
      <xdr:nvGraphicFramePr>
        <xdr:cNvPr id="15" name="Graphique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33617</xdr:colOff>
      <xdr:row>100</xdr:row>
      <xdr:rowOff>112060</xdr:rowOff>
    </xdr:from>
    <xdr:to>
      <xdr:col>27</xdr:col>
      <xdr:colOff>246529</xdr:colOff>
      <xdr:row>116</xdr:row>
      <xdr:rowOff>89648</xdr:rowOff>
    </xdr:to>
    <xdr:graphicFrame macro="">
      <xdr:nvGraphicFramePr>
        <xdr:cNvPr id="16" name="Graphique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235322</xdr:colOff>
      <xdr:row>121</xdr:row>
      <xdr:rowOff>134471</xdr:rowOff>
    </xdr:from>
    <xdr:to>
      <xdr:col>26</xdr:col>
      <xdr:colOff>582705</xdr:colOff>
      <xdr:row>152</xdr:row>
      <xdr:rowOff>134471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750794</xdr:colOff>
      <xdr:row>124</xdr:row>
      <xdr:rowOff>134471</xdr:rowOff>
    </xdr:from>
    <xdr:to>
      <xdr:col>16</xdr:col>
      <xdr:colOff>750794</xdr:colOff>
      <xdr:row>139</xdr:row>
      <xdr:rowOff>22412</xdr:rowOff>
    </xdr:to>
    <xdr:graphicFrame macro="">
      <xdr:nvGraphicFramePr>
        <xdr:cNvPr id="10" name="Graphique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212911</xdr:colOff>
      <xdr:row>122</xdr:row>
      <xdr:rowOff>168088</xdr:rowOff>
    </xdr:from>
    <xdr:to>
      <xdr:col>10</xdr:col>
      <xdr:colOff>481853</xdr:colOff>
      <xdr:row>142</xdr:row>
      <xdr:rowOff>145677</xdr:rowOff>
    </xdr:to>
    <xdr:graphicFrame macro="">
      <xdr:nvGraphicFramePr>
        <xdr:cNvPr id="13" name="Graphique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324971</xdr:colOff>
      <xdr:row>76</xdr:row>
      <xdr:rowOff>168088</xdr:rowOff>
    </xdr:from>
    <xdr:to>
      <xdr:col>10</xdr:col>
      <xdr:colOff>67235</xdr:colOff>
      <xdr:row>94</xdr:row>
      <xdr:rowOff>155762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212912</xdr:colOff>
      <xdr:row>76</xdr:row>
      <xdr:rowOff>168088</xdr:rowOff>
    </xdr:from>
    <xdr:to>
      <xdr:col>17</xdr:col>
      <xdr:colOff>156881</xdr:colOff>
      <xdr:row>94</xdr:row>
      <xdr:rowOff>144555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123264</xdr:colOff>
      <xdr:row>142</xdr:row>
      <xdr:rowOff>112059</xdr:rowOff>
    </xdr:from>
    <xdr:to>
      <xdr:col>20</xdr:col>
      <xdr:colOff>246529</xdr:colOff>
      <xdr:row>173</xdr:row>
      <xdr:rowOff>56029</xdr:rowOff>
    </xdr:to>
    <xdr:graphicFrame macro="">
      <xdr:nvGraphicFramePr>
        <xdr:cNvPr id="11" name="Graphique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7"/>
  <sheetViews>
    <sheetView tabSelected="1" topLeftCell="A132" zoomScale="85" zoomScaleNormal="85" workbookViewId="0">
      <selection activeCell="V158" sqref="V158"/>
    </sheetView>
  </sheetViews>
  <sheetFormatPr baseColWidth="10" defaultColWidth="11.42578125" defaultRowHeight="15"/>
  <cols>
    <col min="2" max="2" width="12.28515625" bestFit="1" customWidth="1"/>
  </cols>
  <sheetData>
    <row r="1" spans="1:17">
      <c r="A1" t="s">
        <v>20</v>
      </c>
      <c r="B1" t="s">
        <v>21</v>
      </c>
      <c r="C1" s="3">
        <v>41862</v>
      </c>
    </row>
    <row r="3" spans="1:17">
      <c r="A3" t="s">
        <v>22</v>
      </c>
      <c r="B3" t="s">
        <v>23</v>
      </c>
      <c r="C3">
        <v>0</v>
      </c>
    </row>
    <row r="4" spans="1:17">
      <c r="A4" s="1" t="s">
        <v>0</v>
      </c>
      <c r="B4" s="1"/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1:17">
      <c r="A5" s="1" t="s">
        <v>16</v>
      </c>
      <c r="B5" s="1" t="s">
        <v>24</v>
      </c>
      <c r="C5" s="2">
        <v>52.18</v>
      </c>
      <c r="D5" s="2">
        <v>49.53</v>
      </c>
      <c r="E5" s="2">
        <v>52.67</v>
      </c>
      <c r="F5" s="2">
        <v>53.21</v>
      </c>
      <c r="G5" s="2">
        <v>51.17</v>
      </c>
      <c r="H5" s="2">
        <v>48.87</v>
      </c>
      <c r="I5" s="2">
        <v>46.67</v>
      </c>
      <c r="J5" s="2">
        <v>44.82</v>
      </c>
      <c r="K5" s="2">
        <v>43.28</v>
      </c>
      <c r="L5" s="2">
        <v>41.9</v>
      </c>
      <c r="M5" s="2">
        <v>38.43</v>
      </c>
      <c r="N5" s="2">
        <v>33.369999999999997</v>
      </c>
      <c r="O5" s="2">
        <v>31.67</v>
      </c>
      <c r="P5" s="2">
        <v>31.86</v>
      </c>
      <c r="Q5" s="2">
        <v>32.85</v>
      </c>
    </row>
    <row r="6" spans="1:17">
      <c r="A6" s="1"/>
      <c r="B6" s="1" t="s">
        <v>25</v>
      </c>
      <c r="C6" s="2">
        <v>0.28999999999999998</v>
      </c>
      <c r="D6" s="2">
        <v>0.32</v>
      </c>
      <c r="E6" s="2">
        <v>0.38</v>
      </c>
      <c r="F6" s="2">
        <v>0.48</v>
      </c>
      <c r="G6" s="2">
        <v>0.6</v>
      </c>
      <c r="H6" s="2">
        <v>0.73</v>
      </c>
      <c r="I6" s="2">
        <v>0.88</v>
      </c>
      <c r="J6" s="2">
        <v>1.02</v>
      </c>
      <c r="K6" s="2">
        <v>1.1499999999999999</v>
      </c>
      <c r="L6" s="2">
        <v>1.27</v>
      </c>
      <c r="M6" s="2">
        <v>1.47</v>
      </c>
      <c r="N6" s="2">
        <v>1.68</v>
      </c>
      <c r="O6" s="2">
        <v>1.86</v>
      </c>
      <c r="P6" s="2">
        <v>1.92</v>
      </c>
      <c r="Q6" s="2">
        <v>1.94</v>
      </c>
    </row>
    <row r="7" spans="1:17">
      <c r="A7" s="1" t="s">
        <v>17</v>
      </c>
      <c r="B7" s="1" t="s">
        <v>24</v>
      </c>
      <c r="C7" s="2">
        <v>50.03</v>
      </c>
      <c r="D7" s="2">
        <v>47.9</v>
      </c>
      <c r="E7" s="2">
        <v>51.56</v>
      </c>
      <c r="F7" s="2">
        <v>51.74</v>
      </c>
      <c r="G7" s="2">
        <v>50.92</v>
      </c>
      <c r="H7" s="2">
        <v>47.52</v>
      </c>
      <c r="I7" s="2">
        <v>45.03</v>
      </c>
      <c r="J7" s="2">
        <v>43.27</v>
      </c>
      <c r="K7" s="2">
        <v>41.48</v>
      </c>
      <c r="L7" s="2">
        <v>39.97</v>
      </c>
      <c r="M7" s="2">
        <v>36.630000000000003</v>
      </c>
      <c r="N7" s="2">
        <v>31.77</v>
      </c>
      <c r="O7" s="2">
        <v>29.62</v>
      </c>
      <c r="P7" s="2">
        <v>29.11</v>
      </c>
      <c r="Q7" s="2">
        <v>29.54</v>
      </c>
    </row>
    <row r="8" spans="1:17">
      <c r="A8" s="1"/>
      <c r="B8" s="1" t="s">
        <v>25</v>
      </c>
      <c r="C8" s="2">
        <v>0.28999999999999998</v>
      </c>
      <c r="D8" s="2">
        <v>0.34</v>
      </c>
      <c r="E8" s="2">
        <v>0.41</v>
      </c>
      <c r="F8" s="2">
        <v>0.51</v>
      </c>
      <c r="G8" s="2">
        <v>0.63</v>
      </c>
      <c r="H8" s="2">
        <v>0.77</v>
      </c>
      <c r="I8" s="2">
        <v>0.92</v>
      </c>
      <c r="J8" s="2">
        <v>1.06</v>
      </c>
      <c r="K8" s="2">
        <v>1.19</v>
      </c>
      <c r="L8" s="2">
        <v>1.31</v>
      </c>
      <c r="M8" s="2">
        <v>1.51</v>
      </c>
      <c r="N8" s="2">
        <v>1.71</v>
      </c>
      <c r="O8" s="2">
        <v>1.88</v>
      </c>
      <c r="P8" s="2">
        <v>1.94</v>
      </c>
      <c r="Q8" s="2">
        <v>1.96</v>
      </c>
    </row>
    <row r="9" spans="1:17">
      <c r="A9" s="1" t="s">
        <v>18</v>
      </c>
      <c r="B9" s="1" t="s">
        <v>24</v>
      </c>
      <c r="C9" s="2">
        <v>49.1</v>
      </c>
      <c r="D9" s="2">
        <v>48.78</v>
      </c>
      <c r="E9" s="2">
        <v>51.88</v>
      </c>
      <c r="F9" s="2">
        <v>51.44</v>
      </c>
      <c r="G9" s="2">
        <v>49.69</v>
      </c>
      <c r="H9" s="2">
        <v>46.66</v>
      </c>
      <c r="I9" s="2">
        <v>43.74</v>
      </c>
      <c r="J9" s="2">
        <v>41.82</v>
      </c>
      <c r="K9" s="2">
        <v>40.21</v>
      </c>
      <c r="L9" s="2">
        <v>38.68</v>
      </c>
      <c r="M9" s="2">
        <v>35.47</v>
      </c>
      <c r="N9" s="2">
        <v>30.91</v>
      </c>
      <c r="O9" s="2">
        <v>28.89</v>
      </c>
      <c r="P9" s="2">
        <v>28.36</v>
      </c>
      <c r="Q9" s="2">
        <v>28.71</v>
      </c>
    </row>
    <row r="10" spans="1:17">
      <c r="A10" s="1"/>
      <c r="B10" s="1" t="s">
        <v>25</v>
      </c>
      <c r="C10" s="2">
        <v>0.3</v>
      </c>
      <c r="D10" s="2">
        <v>0.36</v>
      </c>
      <c r="E10" s="2">
        <v>0.44</v>
      </c>
      <c r="F10" s="2">
        <v>0.55000000000000004</v>
      </c>
      <c r="G10" s="2">
        <v>0.69</v>
      </c>
      <c r="H10" s="2">
        <v>0.83</v>
      </c>
      <c r="I10" s="2">
        <v>0.98</v>
      </c>
      <c r="J10" s="2">
        <v>1.1200000000000001</v>
      </c>
      <c r="K10" s="2">
        <v>1.25</v>
      </c>
      <c r="L10" s="2">
        <v>1.37</v>
      </c>
      <c r="M10" s="2">
        <v>1.55</v>
      </c>
      <c r="N10" s="2">
        <v>1.74</v>
      </c>
      <c r="O10" s="2">
        <v>1.91</v>
      </c>
      <c r="P10" s="2">
        <v>1.96</v>
      </c>
      <c r="Q10" s="2">
        <v>1.98</v>
      </c>
    </row>
    <row r="11" spans="1:17">
      <c r="A11" s="1" t="s">
        <v>19</v>
      </c>
      <c r="B11" s="1" t="s">
        <v>24</v>
      </c>
      <c r="C11" s="2">
        <v>52.04</v>
      </c>
      <c r="D11" s="2">
        <v>53.5</v>
      </c>
      <c r="E11" s="2">
        <v>55.33</v>
      </c>
      <c r="F11" s="2">
        <v>53.97</v>
      </c>
      <c r="G11" s="2">
        <v>51.51</v>
      </c>
      <c r="H11" s="2">
        <v>47.97</v>
      </c>
      <c r="I11" s="2">
        <v>44.85</v>
      </c>
      <c r="J11" s="2">
        <v>42.69</v>
      </c>
      <c r="K11" s="2">
        <v>40.93</v>
      </c>
      <c r="L11" s="2">
        <v>39.36</v>
      </c>
      <c r="M11" s="2">
        <v>36.200000000000003</v>
      </c>
      <c r="N11" s="2">
        <v>31.78</v>
      </c>
      <c r="O11" s="2">
        <v>29.67</v>
      </c>
      <c r="P11" s="2">
        <v>29.06</v>
      </c>
      <c r="Q11" s="2">
        <v>29.23</v>
      </c>
    </row>
    <row r="12" spans="1:17">
      <c r="A12" s="1"/>
      <c r="B12" s="1" t="s">
        <v>25</v>
      </c>
      <c r="C12" s="2">
        <v>0.32</v>
      </c>
      <c r="D12" s="2">
        <v>0.39</v>
      </c>
      <c r="E12" s="2">
        <v>0.48</v>
      </c>
      <c r="F12" s="2">
        <v>0.6</v>
      </c>
      <c r="G12" s="2">
        <v>0.74</v>
      </c>
      <c r="H12" s="2">
        <v>0.89</v>
      </c>
      <c r="I12" s="2">
        <v>1.04</v>
      </c>
      <c r="J12" s="2">
        <v>1.18</v>
      </c>
      <c r="K12" s="2">
        <v>1.31</v>
      </c>
      <c r="L12" s="2">
        <v>1.42</v>
      </c>
      <c r="M12" s="2">
        <v>1.6</v>
      </c>
      <c r="N12" s="2">
        <v>1.78</v>
      </c>
      <c r="O12" s="2">
        <v>1.93</v>
      </c>
      <c r="P12" s="2">
        <v>1.98</v>
      </c>
      <c r="Q12" s="2">
        <v>1.99</v>
      </c>
    </row>
    <row r="13" spans="1:17">
      <c r="A13" s="1" t="s">
        <v>1</v>
      </c>
      <c r="B13" s="1" t="s">
        <v>24</v>
      </c>
      <c r="C13" s="2">
        <v>55.14</v>
      </c>
      <c r="D13" s="2">
        <v>58.47</v>
      </c>
      <c r="E13" s="2">
        <v>58.97</v>
      </c>
      <c r="F13" s="2">
        <v>56.64</v>
      </c>
      <c r="G13" s="2">
        <v>53.43</v>
      </c>
      <c r="H13" s="2">
        <v>49.34</v>
      </c>
      <c r="I13" s="2">
        <v>46.03</v>
      </c>
      <c r="J13" s="2">
        <v>43.6</v>
      </c>
      <c r="K13" s="2">
        <v>41.69</v>
      </c>
      <c r="L13" s="2">
        <v>40.07</v>
      </c>
      <c r="M13" s="2">
        <v>36.979999999999997</v>
      </c>
      <c r="N13" s="2">
        <v>32.71</v>
      </c>
      <c r="O13" s="2">
        <v>30.51</v>
      </c>
      <c r="P13" s="2">
        <v>29.81</v>
      </c>
      <c r="Q13" s="2">
        <v>29.79</v>
      </c>
    </row>
    <row r="14" spans="1:17">
      <c r="A14" s="1"/>
      <c r="B14" s="1" t="s">
        <v>25</v>
      </c>
      <c r="C14" s="2">
        <v>0.34</v>
      </c>
      <c r="D14" s="2">
        <v>0.42</v>
      </c>
      <c r="E14" s="2">
        <v>0.53</v>
      </c>
      <c r="F14" s="2">
        <v>0.65</v>
      </c>
      <c r="G14" s="2">
        <v>0.8</v>
      </c>
      <c r="H14" s="2">
        <v>0.96</v>
      </c>
      <c r="I14" s="2">
        <v>1.1100000000000001</v>
      </c>
      <c r="J14" s="2">
        <v>1.25</v>
      </c>
      <c r="K14" s="2">
        <v>1.37</v>
      </c>
      <c r="L14" s="2">
        <v>1.48</v>
      </c>
      <c r="M14" s="2">
        <v>1.65</v>
      </c>
      <c r="N14" s="2">
        <v>1.82</v>
      </c>
      <c r="O14" s="2">
        <v>1.96</v>
      </c>
      <c r="P14" s="2">
        <v>2</v>
      </c>
      <c r="Q14" s="2">
        <v>2.0099999999999998</v>
      </c>
    </row>
    <row r="15" spans="1:17">
      <c r="A15" s="1" t="s">
        <v>2</v>
      </c>
      <c r="B15" s="1" t="s">
        <v>24</v>
      </c>
      <c r="C15" s="2">
        <v>66.63</v>
      </c>
      <c r="D15" s="2">
        <v>67.64</v>
      </c>
      <c r="E15" s="2">
        <v>62.6</v>
      </c>
      <c r="F15" s="2">
        <v>56.66</v>
      </c>
      <c r="G15" s="2">
        <v>52.02</v>
      </c>
      <c r="H15" s="2">
        <v>47.89</v>
      </c>
      <c r="I15" s="2">
        <v>44.76</v>
      </c>
      <c r="J15" s="2">
        <v>42.32</v>
      </c>
      <c r="K15" s="2">
        <v>40.78</v>
      </c>
      <c r="L15" s="2">
        <v>39.43</v>
      </c>
      <c r="M15" s="2">
        <v>36.869999999999997</v>
      </c>
      <c r="N15" s="2">
        <v>33.22</v>
      </c>
      <c r="O15" s="2">
        <v>31.57</v>
      </c>
      <c r="P15" s="2">
        <v>30.96</v>
      </c>
      <c r="Q15" s="2">
        <v>30.75</v>
      </c>
    </row>
    <row r="16" spans="1:17">
      <c r="A16" s="1"/>
      <c r="B16" s="1" t="s">
        <v>25</v>
      </c>
      <c r="C16" s="2">
        <v>0.49</v>
      </c>
      <c r="D16" s="2">
        <v>0.62</v>
      </c>
      <c r="E16" s="2">
        <v>0.76</v>
      </c>
      <c r="F16" s="2">
        <v>0.92</v>
      </c>
      <c r="G16" s="2">
        <v>1.08</v>
      </c>
      <c r="H16" s="2">
        <v>1.24</v>
      </c>
      <c r="I16" s="2">
        <v>1.38</v>
      </c>
      <c r="J16" s="2">
        <v>1.51</v>
      </c>
      <c r="K16" s="2">
        <v>1.61</v>
      </c>
      <c r="L16" s="2">
        <v>1.71</v>
      </c>
      <c r="M16" s="2">
        <v>1.84</v>
      </c>
      <c r="N16" s="2">
        <v>1.97</v>
      </c>
      <c r="O16" s="2">
        <v>2.0699999999999998</v>
      </c>
      <c r="P16" s="2">
        <v>2.09</v>
      </c>
      <c r="Q16" s="2">
        <v>2.09</v>
      </c>
    </row>
    <row r="17" spans="1:17">
      <c r="A17" s="1" t="s">
        <v>3</v>
      </c>
      <c r="B17" s="1" t="s">
        <v>24</v>
      </c>
      <c r="C17" s="2">
        <v>71.39</v>
      </c>
      <c r="D17" s="2">
        <v>66.010000000000005</v>
      </c>
      <c r="E17" s="2">
        <v>58.73</v>
      </c>
      <c r="F17" s="2">
        <v>52.71</v>
      </c>
      <c r="G17" s="2">
        <v>48.21</v>
      </c>
      <c r="H17" s="2">
        <v>44.66</v>
      </c>
      <c r="I17" s="2">
        <v>41.99</v>
      </c>
      <c r="J17" s="2">
        <v>40.04</v>
      </c>
      <c r="K17" s="2">
        <v>38.56</v>
      </c>
      <c r="L17" s="2">
        <v>37.39</v>
      </c>
      <c r="M17" s="2">
        <v>35.42</v>
      </c>
      <c r="N17" s="2">
        <v>32.51</v>
      </c>
      <c r="O17" s="2">
        <v>31.2</v>
      </c>
      <c r="P17" s="2">
        <v>30.6</v>
      </c>
      <c r="Q17" s="2">
        <v>30.28</v>
      </c>
    </row>
    <row r="18" spans="1:17">
      <c r="A18" s="1"/>
      <c r="B18" s="1" t="s">
        <v>25</v>
      </c>
      <c r="C18" s="2">
        <v>0.74</v>
      </c>
      <c r="D18" s="2">
        <v>0.89</v>
      </c>
      <c r="E18" s="2">
        <v>1.06</v>
      </c>
      <c r="F18" s="2">
        <v>1.23</v>
      </c>
      <c r="G18" s="2">
        <v>1.39</v>
      </c>
      <c r="H18" s="2">
        <v>1.53</v>
      </c>
      <c r="I18" s="2">
        <v>1.66</v>
      </c>
      <c r="J18" s="2">
        <v>1.76</v>
      </c>
      <c r="K18" s="2">
        <v>1.85</v>
      </c>
      <c r="L18" s="2">
        <v>1.91</v>
      </c>
      <c r="M18" s="2">
        <v>2.0299999999999998</v>
      </c>
      <c r="N18" s="2">
        <v>2.11</v>
      </c>
      <c r="O18" s="2">
        <v>2.17</v>
      </c>
      <c r="P18" s="2">
        <v>2.17</v>
      </c>
      <c r="Q18" s="2">
        <v>2.17</v>
      </c>
    </row>
    <row r="19" spans="1:17">
      <c r="A19" s="1" t="s">
        <v>4</v>
      </c>
      <c r="B19" s="1" t="s">
        <v>24</v>
      </c>
      <c r="C19" s="2">
        <v>63.73</v>
      </c>
      <c r="D19" s="2">
        <v>56.48</v>
      </c>
      <c r="E19" s="2">
        <v>50.32</v>
      </c>
      <c r="F19" s="2">
        <v>46.09</v>
      </c>
      <c r="G19" s="2">
        <v>43.01</v>
      </c>
      <c r="H19" s="2">
        <v>40.67</v>
      </c>
      <c r="I19" s="2">
        <v>38.770000000000003</v>
      </c>
      <c r="J19" s="2">
        <v>37.36</v>
      </c>
      <c r="K19" s="2">
        <v>36.369999999999997</v>
      </c>
      <c r="L19" s="2">
        <v>35.56</v>
      </c>
      <c r="M19" s="2">
        <v>34.01</v>
      </c>
      <c r="N19" s="2">
        <v>31.73</v>
      </c>
      <c r="O19" s="2">
        <v>30.8</v>
      </c>
      <c r="P19" s="2">
        <v>30.26</v>
      </c>
      <c r="Q19" s="2">
        <v>29.7</v>
      </c>
    </row>
    <row r="20" spans="1:17">
      <c r="A20" s="1"/>
      <c r="B20" s="1" t="s">
        <v>25</v>
      </c>
      <c r="C20" s="2">
        <v>1.05</v>
      </c>
      <c r="D20" s="2">
        <v>1.23</v>
      </c>
      <c r="E20" s="2">
        <v>1.4</v>
      </c>
      <c r="F20" s="2">
        <v>1.56</v>
      </c>
      <c r="G20" s="2">
        <v>1.7</v>
      </c>
      <c r="H20" s="2">
        <v>1.82</v>
      </c>
      <c r="I20" s="2">
        <v>1.92</v>
      </c>
      <c r="J20" s="2">
        <v>2</v>
      </c>
      <c r="K20" s="2">
        <v>2.06</v>
      </c>
      <c r="L20" s="2">
        <v>2.11</v>
      </c>
      <c r="M20" s="2">
        <v>2.19</v>
      </c>
      <c r="N20" s="2">
        <v>2.25</v>
      </c>
      <c r="O20" s="2">
        <v>2.27</v>
      </c>
      <c r="P20" s="2">
        <v>2.2400000000000002</v>
      </c>
      <c r="Q20" s="2">
        <v>2.23</v>
      </c>
    </row>
    <row r="21" spans="1:17">
      <c r="A21" s="1" t="s">
        <v>5</v>
      </c>
      <c r="B21" s="1" t="s">
        <v>24</v>
      </c>
      <c r="C21" s="2">
        <v>51.7</v>
      </c>
      <c r="D21" s="2">
        <v>47.55</v>
      </c>
      <c r="E21" s="2">
        <v>43.32</v>
      </c>
      <c r="F21" s="2">
        <v>40.54</v>
      </c>
      <c r="G21" s="2">
        <v>38.68</v>
      </c>
      <c r="H21" s="2">
        <v>37.14</v>
      </c>
      <c r="I21" s="2">
        <v>36.03</v>
      </c>
      <c r="J21" s="2">
        <v>35.200000000000003</v>
      </c>
      <c r="K21" s="2">
        <v>34.479999999999997</v>
      </c>
      <c r="L21" s="2">
        <v>33.93</v>
      </c>
      <c r="M21" s="2">
        <v>32.75</v>
      </c>
      <c r="N21" s="2">
        <v>30.94</v>
      </c>
      <c r="O21" s="2">
        <v>30.34</v>
      </c>
      <c r="P21" s="2">
        <v>29.77</v>
      </c>
      <c r="Q21" s="2">
        <v>29.02</v>
      </c>
    </row>
    <row r="22" spans="1:17">
      <c r="A22" s="1"/>
      <c r="B22" s="1" t="s">
        <v>25</v>
      </c>
      <c r="C22" s="2">
        <v>1.41</v>
      </c>
      <c r="D22" s="2">
        <v>1.58</v>
      </c>
      <c r="E22" s="2">
        <v>1.74</v>
      </c>
      <c r="F22" s="2">
        <v>1.87</v>
      </c>
      <c r="G22" s="2">
        <v>1.98</v>
      </c>
      <c r="H22" s="2">
        <v>2.0699999999999998</v>
      </c>
      <c r="I22" s="2">
        <v>2.15</v>
      </c>
      <c r="J22" s="2">
        <v>2.19</v>
      </c>
      <c r="K22" s="2">
        <v>2.2400000000000002</v>
      </c>
      <c r="L22" s="2">
        <v>2.29</v>
      </c>
      <c r="M22" s="2">
        <v>2.3199999999999998</v>
      </c>
      <c r="N22" s="2">
        <v>2.36</v>
      </c>
      <c r="O22" s="2">
        <v>2.34</v>
      </c>
      <c r="P22" s="2">
        <v>2.2999999999999998</v>
      </c>
      <c r="Q22" s="2">
        <v>2.2799999999999998</v>
      </c>
    </row>
    <row r="23" spans="1:17">
      <c r="A23" s="1" t="s">
        <v>6</v>
      </c>
      <c r="B23" s="1" t="s">
        <v>24</v>
      </c>
      <c r="C23" s="2">
        <v>44.69</v>
      </c>
      <c r="D23" s="2">
        <v>41.68</v>
      </c>
      <c r="E23" s="2">
        <v>38.72</v>
      </c>
      <c r="F23" s="2">
        <v>36.770000000000003</v>
      </c>
      <c r="G23" s="2">
        <v>35.46</v>
      </c>
      <c r="H23" s="2">
        <v>34.409999999999997</v>
      </c>
      <c r="I23" s="2">
        <v>33.71</v>
      </c>
      <c r="J23" s="2">
        <v>33.229999999999997</v>
      </c>
      <c r="K23" s="2">
        <v>32.729999999999997</v>
      </c>
      <c r="L23" s="2">
        <v>32.479999999999997</v>
      </c>
      <c r="M23" s="2">
        <v>31.49</v>
      </c>
      <c r="N23" s="2">
        <v>30.04</v>
      </c>
      <c r="O23" s="2">
        <v>29.41</v>
      </c>
      <c r="P23" s="2">
        <v>28.77</v>
      </c>
      <c r="Q23" s="2">
        <v>27.93</v>
      </c>
    </row>
    <row r="24" spans="1:17">
      <c r="A24" s="1"/>
      <c r="B24" s="1" t="s">
        <v>25</v>
      </c>
      <c r="C24" s="2">
        <v>1.75</v>
      </c>
      <c r="D24" s="2">
        <v>1.9</v>
      </c>
      <c r="E24" s="2">
        <v>2.0299999999999998</v>
      </c>
      <c r="F24" s="2">
        <v>2.13</v>
      </c>
      <c r="G24" s="2">
        <v>2.2200000000000002</v>
      </c>
      <c r="H24" s="2">
        <v>2.2799999999999998</v>
      </c>
      <c r="I24" s="2">
        <v>2.3199999999999998</v>
      </c>
      <c r="J24" s="2">
        <v>2.36</v>
      </c>
      <c r="K24" s="2">
        <v>2.4</v>
      </c>
      <c r="L24" s="2">
        <v>2.4</v>
      </c>
      <c r="M24" s="2">
        <v>2.42</v>
      </c>
      <c r="N24" s="2">
        <v>2.4300000000000002</v>
      </c>
      <c r="O24" s="2">
        <v>2.39</v>
      </c>
      <c r="P24" s="2">
        <v>2.35</v>
      </c>
      <c r="Q24" s="2">
        <v>2.3199999999999998</v>
      </c>
    </row>
    <row r="25" spans="1:17">
      <c r="A25" s="1" t="s">
        <v>7</v>
      </c>
      <c r="B25" s="1" t="s">
        <v>24</v>
      </c>
      <c r="C25" s="2">
        <v>37.770000000000003</v>
      </c>
      <c r="D25" s="2">
        <v>36.11</v>
      </c>
      <c r="E25" s="2">
        <v>34.409999999999997</v>
      </c>
      <c r="F25" s="2">
        <v>33.25</v>
      </c>
      <c r="G25" s="2">
        <v>32.450000000000003</v>
      </c>
      <c r="H25" s="2">
        <v>31.92</v>
      </c>
      <c r="I25" s="2">
        <v>31.53</v>
      </c>
      <c r="J25" s="2">
        <v>31.38</v>
      </c>
      <c r="K25" s="2">
        <v>31.23</v>
      </c>
      <c r="L25" s="2">
        <v>31.13</v>
      </c>
      <c r="M25" s="2">
        <v>30.32</v>
      </c>
      <c r="N25" s="2">
        <v>29.22</v>
      </c>
      <c r="O25" s="2">
        <v>28.55</v>
      </c>
      <c r="P25" s="2">
        <v>27.81</v>
      </c>
      <c r="Q25" s="2">
        <v>26.88</v>
      </c>
    </row>
    <row r="26" spans="1:17">
      <c r="A26" s="1"/>
      <c r="B26" s="1" t="s">
        <v>25</v>
      </c>
      <c r="C26" s="2">
        <v>2.06</v>
      </c>
      <c r="D26" s="2">
        <v>2.17</v>
      </c>
      <c r="E26" s="2">
        <v>2.27</v>
      </c>
      <c r="F26" s="2">
        <v>2.34</v>
      </c>
      <c r="G26" s="2">
        <v>2.39</v>
      </c>
      <c r="H26" s="2">
        <v>2.42</v>
      </c>
      <c r="I26" s="2">
        <v>2.4500000000000002</v>
      </c>
      <c r="J26" s="2">
        <v>2.4900000000000002</v>
      </c>
      <c r="K26" s="2">
        <v>2.4900000000000002</v>
      </c>
      <c r="L26" s="2">
        <v>2.4900000000000002</v>
      </c>
      <c r="M26" s="2">
        <v>2.5</v>
      </c>
      <c r="N26" s="2">
        <v>2.48</v>
      </c>
      <c r="O26" s="2">
        <v>2.42</v>
      </c>
      <c r="P26" s="2">
        <v>2.37</v>
      </c>
      <c r="Q26" s="2">
        <v>2.35</v>
      </c>
    </row>
    <row r="27" spans="1:17">
      <c r="A27" s="1" t="s">
        <v>8</v>
      </c>
      <c r="B27" s="1" t="s">
        <v>24</v>
      </c>
      <c r="C27" s="2">
        <v>35.1</v>
      </c>
      <c r="D27" s="2">
        <v>33.93</v>
      </c>
      <c r="E27" s="2">
        <v>32.6</v>
      </c>
      <c r="F27" s="2">
        <v>31.83</v>
      </c>
      <c r="G27" s="2">
        <v>31.39</v>
      </c>
      <c r="H27" s="2">
        <v>30.97</v>
      </c>
      <c r="I27" s="2">
        <v>30.64</v>
      </c>
      <c r="J27" s="2">
        <v>30.68</v>
      </c>
      <c r="K27" s="2">
        <v>30.64</v>
      </c>
      <c r="L27" s="2">
        <v>30.6</v>
      </c>
      <c r="M27" s="2">
        <v>29.82</v>
      </c>
      <c r="N27" s="2">
        <v>28.85</v>
      </c>
      <c r="O27" s="2">
        <v>28.06</v>
      </c>
      <c r="P27" s="2">
        <v>27.23</v>
      </c>
      <c r="Q27" s="2">
        <v>26.25</v>
      </c>
    </row>
    <row r="28" spans="1:17">
      <c r="A28" s="1"/>
      <c r="B28" s="1" t="s">
        <v>25</v>
      </c>
      <c r="C28" s="2">
        <v>2.29</v>
      </c>
      <c r="D28" s="2">
        <v>2.37</v>
      </c>
      <c r="E28" s="2">
        <v>2.44</v>
      </c>
      <c r="F28" s="2">
        <v>2.48</v>
      </c>
      <c r="G28" s="2">
        <v>2.5</v>
      </c>
      <c r="H28" s="2">
        <v>2.52</v>
      </c>
      <c r="I28" s="2">
        <v>2.56</v>
      </c>
      <c r="J28" s="2">
        <v>2.54</v>
      </c>
      <c r="K28" s="2">
        <v>2.54</v>
      </c>
      <c r="L28" s="2">
        <v>2.54</v>
      </c>
      <c r="M28" s="2">
        <v>2.5499999999999998</v>
      </c>
      <c r="N28" s="2">
        <v>2.5</v>
      </c>
      <c r="O28" s="2">
        <v>2.4300000000000002</v>
      </c>
      <c r="P28" s="2">
        <v>2.38</v>
      </c>
      <c r="Q28" s="2">
        <v>2.36</v>
      </c>
    </row>
    <row r="29" spans="1:17">
      <c r="A29" s="1" t="s">
        <v>9</v>
      </c>
      <c r="B29" s="1" t="s">
        <v>24</v>
      </c>
      <c r="C29" s="2">
        <v>32.72</v>
      </c>
      <c r="D29" s="2">
        <v>32.03</v>
      </c>
      <c r="E29" s="2">
        <v>31.08</v>
      </c>
      <c r="F29" s="2">
        <v>30.69</v>
      </c>
      <c r="G29" s="2">
        <v>30.41</v>
      </c>
      <c r="H29" s="2">
        <v>30.11</v>
      </c>
      <c r="I29" s="2">
        <v>30.04</v>
      </c>
      <c r="J29" s="2">
        <v>30.08</v>
      </c>
      <c r="K29" s="2">
        <v>30.13</v>
      </c>
      <c r="L29" s="2">
        <v>30.15</v>
      </c>
      <c r="M29" s="2">
        <v>29.48</v>
      </c>
      <c r="N29" s="2">
        <v>28.53</v>
      </c>
      <c r="O29" s="2">
        <v>27.62</v>
      </c>
      <c r="P29" s="2">
        <v>26.68</v>
      </c>
      <c r="Q29" s="2">
        <v>25.65</v>
      </c>
    </row>
    <row r="30" spans="1:17">
      <c r="A30" s="1"/>
      <c r="B30" s="1" t="s">
        <v>25</v>
      </c>
      <c r="C30" s="2">
        <v>2.4500000000000002</v>
      </c>
      <c r="D30" s="2">
        <v>2.5099999999999998</v>
      </c>
      <c r="E30" s="2">
        <v>2.5499999999999998</v>
      </c>
      <c r="F30" s="2">
        <v>2.5499999999999998</v>
      </c>
      <c r="G30" s="2">
        <v>2.58</v>
      </c>
      <c r="H30" s="2">
        <v>2.61</v>
      </c>
      <c r="I30" s="2">
        <v>2.59</v>
      </c>
      <c r="J30" s="2">
        <v>2.57</v>
      </c>
      <c r="K30" s="2">
        <v>2.57</v>
      </c>
      <c r="L30" s="2">
        <v>2.57</v>
      </c>
      <c r="M30" s="2">
        <v>2.5499999999999998</v>
      </c>
      <c r="N30" s="2">
        <v>2.5099999999999998</v>
      </c>
      <c r="O30" s="2">
        <v>2.4300000000000002</v>
      </c>
      <c r="P30" s="2">
        <v>2.38</v>
      </c>
      <c r="Q30" s="2">
        <v>2.35</v>
      </c>
    </row>
    <row r="31" spans="1:17">
      <c r="A31" s="1" t="s">
        <v>10</v>
      </c>
      <c r="B31" s="1" t="s">
        <v>24</v>
      </c>
      <c r="C31" s="2">
        <v>30.46</v>
      </c>
      <c r="D31" s="2">
        <v>30.29</v>
      </c>
      <c r="E31" s="2">
        <v>29.77</v>
      </c>
      <c r="F31" s="2">
        <v>29.57</v>
      </c>
      <c r="G31" s="2">
        <v>29.46</v>
      </c>
      <c r="H31" s="2">
        <v>29.48</v>
      </c>
      <c r="I31" s="2">
        <v>29.49</v>
      </c>
      <c r="J31" s="2">
        <v>29.51</v>
      </c>
      <c r="K31" s="2">
        <v>29.66</v>
      </c>
      <c r="L31" s="2">
        <v>29.74</v>
      </c>
      <c r="M31" s="2">
        <v>29.18</v>
      </c>
      <c r="N31" s="2">
        <v>28.26</v>
      </c>
      <c r="O31" s="2">
        <v>27.21</v>
      </c>
      <c r="P31" s="2">
        <v>26.15</v>
      </c>
      <c r="Q31" s="2">
        <v>25.07</v>
      </c>
    </row>
    <row r="32" spans="1:17">
      <c r="A32" s="1"/>
      <c r="B32" s="1" t="s">
        <v>25</v>
      </c>
      <c r="C32" s="2">
        <v>2.58</v>
      </c>
      <c r="D32" s="2">
        <v>2.6</v>
      </c>
      <c r="E32" s="2">
        <v>2.59</v>
      </c>
      <c r="F32" s="2">
        <v>2.61</v>
      </c>
      <c r="G32" s="2">
        <v>2.64</v>
      </c>
      <c r="H32" s="2">
        <v>2.61</v>
      </c>
      <c r="I32" s="2">
        <v>2.59</v>
      </c>
      <c r="J32" s="2">
        <v>2.59</v>
      </c>
      <c r="K32" s="2">
        <v>2.59</v>
      </c>
      <c r="L32" s="2">
        <v>2.59</v>
      </c>
      <c r="M32" s="2">
        <v>2.54</v>
      </c>
      <c r="N32" s="2">
        <v>2.5</v>
      </c>
      <c r="O32" s="2">
        <v>2.41</v>
      </c>
      <c r="P32" s="2">
        <v>2.37</v>
      </c>
      <c r="Q32" s="2">
        <v>2.35</v>
      </c>
    </row>
    <row r="33" spans="1:17">
      <c r="A33" s="1" t="s">
        <v>11</v>
      </c>
      <c r="B33" s="1" t="s">
        <v>24</v>
      </c>
      <c r="C33" s="2">
        <v>29.34</v>
      </c>
      <c r="D33" s="2">
        <v>29.28</v>
      </c>
      <c r="E33" s="2">
        <v>28.85</v>
      </c>
      <c r="F33" s="2">
        <v>29.06</v>
      </c>
      <c r="G33" s="2">
        <v>29.22</v>
      </c>
      <c r="H33" s="2">
        <v>29.2</v>
      </c>
      <c r="I33" s="2">
        <v>29.22</v>
      </c>
      <c r="J33" s="2">
        <v>29.3</v>
      </c>
      <c r="K33" s="2">
        <v>29.52</v>
      </c>
      <c r="L33" s="2">
        <v>29.66</v>
      </c>
      <c r="M33" s="2">
        <v>28.96</v>
      </c>
      <c r="N33" s="2">
        <v>27.91</v>
      </c>
      <c r="O33" s="2">
        <v>26.52</v>
      </c>
      <c r="P33" s="2">
        <v>25.28</v>
      </c>
      <c r="Q33" s="2">
        <v>24.21</v>
      </c>
    </row>
    <row r="34" spans="1:17">
      <c r="A34" s="1"/>
      <c r="B34" s="1" t="s">
        <v>25</v>
      </c>
      <c r="C34" s="2">
        <v>2.56</v>
      </c>
      <c r="D34" s="2">
        <v>2.62</v>
      </c>
      <c r="E34" s="2">
        <v>2.67</v>
      </c>
      <c r="F34" s="2">
        <v>2.61</v>
      </c>
      <c r="G34" s="2">
        <v>2.59</v>
      </c>
      <c r="H34" s="2">
        <v>2.58</v>
      </c>
      <c r="I34" s="2">
        <v>2.58</v>
      </c>
      <c r="J34" s="2">
        <v>2.59</v>
      </c>
      <c r="K34" s="2">
        <v>2.56</v>
      </c>
      <c r="L34" s="2">
        <v>2.5299999999999998</v>
      </c>
      <c r="M34" s="2">
        <v>2.4900000000000002</v>
      </c>
      <c r="N34" s="2">
        <v>2.4300000000000002</v>
      </c>
      <c r="O34" s="2">
        <v>2.36</v>
      </c>
      <c r="P34" s="2">
        <v>2.33</v>
      </c>
      <c r="Q34" s="2">
        <v>2.31</v>
      </c>
    </row>
    <row r="35" spans="1:17">
      <c r="A35" s="1" t="s">
        <v>12</v>
      </c>
      <c r="B35" s="1" t="s">
        <v>24</v>
      </c>
      <c r="C35" s="2">
        <v>27.92</v>
      </c>
      <c r="D35" s="2">
        <v>28.3</v>
      </c>
      <c r="E35" s="2">
        <v>28.32</v>
      </c>
      <c r="F35" s="2">
        <v>28.6</v>
      </c>
      <c r="G35" s="2">
        <v>28.8</v>
      </c>
      <c r="H35" s="2">
        <v>28.93</v>
      </c>
      <c r="I35" s="2">
        <v>29.15</v>
      </c>
      <c r="J35" s="2">
        <v>29.41</v>
      </c>
      <c r="K35" s="2">
        <v>29.53</v>
      </c>
      <c r="L35" s="2">
        <v>29.62</v>
      </c>
      <c r="M35" s="2">
        <v>28.79</v>
      </c>
      <c r="N35" s="2">
        <v>27.47</v>
      </c>
      <c r="O35" s="2">
        <v>25.54</v>
      </c>
      <c r="P35" s="2">
        <v>24.01</v>
      </c>
      <c r="Q35" s="2">
        <v>22.96</v>
      </c>
    </row>
    <row r="36" spans="1:17">
      <c r="A36" s="1"/>
      <c r="B36" s="1" t="s">
        <v>25</v>
      </c>
      <c r="C36" s="2">
        <v>2.44</v>
      </c>
      <c r="D36" s="2">
        <v>2.4700000000000002</v>
      </c>
      <c r="E36" s="2">
        <v>2.4900000000000002</v>
      </c>
      <c r="F36" s="2">
        <v>2.52</v>
      </c>
      <c r="G36" s="2">
        <v>2.54</v>
      </c>
      <c r="H36" s="2">
        <v>2.4900000000000002</v>
      </c>
      <c r="I36" s="2">
        <v>2.46</v>
      </c>
      <c r="J36" s="2">
        <v>2.44</v>
      </c>
      <c r="K36" s="2">
        <v>2.4300000000000002</v>
      </c>
      <c r="L36" s="2">
        <v>2.41</v>
      </c>
      <c r="M36" s="2">
        <v>2.36</v>
      </c>
      <c r="N36" s="2">
        <v>2.31</v>
      </c>
      <c r="O36" s="2">
        <v>2.2799999999999998</v>
      </c>
      <c r="P36" s="2">
        <v>2.2599999999999998</v>
      </c>
      <c r="Q36" s="2">
        <v>2.2400000000000002</v>
      </c>
    </row>
    <row r="37" spans="1:17">
      <c r="A37" s="1" t="s">
        <v>13</v>
      </c>
      <c r="B37" s="1" t="s">
        <v>24</v>
      </c>
      <c r="C37" s="2">
        <v>28.41</v>
      </c>
      <c r="D37" s="2">
        <v>29.09</v>
      </c>
      <c r="E37" s="2">
        <v>29.15</v>
      </c>
      <c r="F37" s="2">
        <v>29.37</v>
      </c>
      <c r="G37" s="2">
        <v>29.69</v>
      </c>
      <c r="H37" s="2">
        <v>29.81</v>
      </c>
      <c r="I37" s="2">
        <v>29.95</v>
      </c>
      <c r="J37" s="2">
        <v>29.97</v>
      </c>
      <c r="K37" s="2">
        <v>29.89</v>
      </c>
      <c r="L37" s="2">
        <v>29.67</v>
      </c>
      <c r="M37" s="2">
        <v>28.25</v>
      </c>
      <c r="N37" s="2">
        <v>26.13</v>
      </c>
      <c r="O37" s="2">
        <v>23.38</v>
      </c>
      <c r="P37" s="2">
        <v>22.04</v>
      </c>
      <c r="Q37" s="2">
        <v>21.01</v>
      </c>
    </row>
    <row r="38" spans="1:17">
      <c r="A38" s="1"/>
      <c r="B38" s="1" t="s">
        <v>25</v>
      </c>
      <c r="C38" s="2">
        <v>2.2599999999999998</v>
      </c>
      <c r="D38" s="2">
        <v>2.2599999999999998</v>
      </c>
      <c r="E38" s="2">
        <v>2.27</v>
      </c>
      <c r="F38" s="2">
        <v>2.27</v>
      </c>
      <c r="G38" s="2">
        <v>2.27</v>
      </c>
      <c r="H38" s="2">
        <v>2.25</v>
      </c>
      <c r="I38" s="2">
        <v>2.2200000000000002</v>
      </c>
      <c r="J38" s="2">
        <v>2.21</v>
      </c>
      <c r="K38" s="2">
        <v>2.19</v>
      </c>
      <c r="L38" s="2">
        <v>2.1800000000000002</v>
      </c>
      <c r="M38" s="2">
        <v>2.1800000000000002</v>
      </c>
      <c r="N38" s="2">
        <v>2.17</v>
      </c>
      <c r="O38" s="2">
        <v>2.17</v>
      </c>
      <c r="P38" s="2">
        <v>2.16</v>
      </c>
      <c r="Q38" s="2">
        <v>2.14</v>
      </c>
    </row>
    <row r="39" spans="1:17">
      <c r="A39" s="1" t="s">
        <v>14</v>
      </c>
      <c r="B39" s="1" t="s">
        <v>24</v>
      </c>
      <c r="C39" s="2">
        <v>29.19</v>
      </c>
      <c r="D39" s="2">
        <v>29.63</v>
      </c>
      <c r="E39" s="2">
        <v>29.57</v>
      </c>
      <c r="F39" s="2">
        <v>29.45</v>
      </c>
      <c r="G39" s="2">
        <v>29.33</v>
      </c>
      <c r="H39" s="2">
        <v>28.92</v>
      </c>
      <c r="I39" s="2">
        <v>28.59</v>
      </c>
      <c r="J39" s="2">
        <v>28.18</v>
      </c>
      <c r="K39" s="2">
        <v>27.76</v>
      </c>
      <c r="L39" s="2">
        <v>27.26</v>
      </c>
      <c r="M39" s="2">
        <v>25.78</v>
      </c>
      <c r="N39" s="2">
        <v>23.59</v>
      </c>
      <c r="O39" s="2">
        <v>21.2</v>
      </c>
      <c r="P39" s="2">
        <v>20.149999999999999</v>
      </c>
      <c r="Q39" s="2">
        <v>18.989999999999998</v>
      </c>
    </row>
    <row r="40" spans="1:17">
      <c r="A40" s="1"/>
      <c r="B40" s="1" t="s">
        <v>25</v>
      </c>
      <c r="C40" s="2">
        <v>2.09</v>
      </c>
      <c r="D40" s="2">
        <v>2.09</v>
      </c>
      <c r="E40" s="2">
        <v>2.08</v>
      </c>
      <c r="F40" s="2">
        <v>2.08</v>
      </c>
      <c r="G40" s="2">
        <v>2.08</v>
      </c>
      <c r="H40" s="2">
        <v>2.09</v>
      </c>
      <c r="I40" s="2">
        <v>2.1</v>
      </c>
      <c r="J40" s="2">
        <v>2.1</v>
      </c>
      <c r="K40" s="2">
        <v>2.1</v>
      </c>
      <c r="L40" s="2">
        <v>2.11</v>
      </c>
      <c r="M40" s="2">
        <v>2.12</v>
      </c>
      <c r="N40" s="2">
        <v>2.13</v>
      </c>
      <c r="O40" s="2">
        <v>2.13</v>
      </c>
      <c r="P40" s="2">
        <v>2.1</v>
      </c>
      <c r="Q40" s="2">
        <v>1.99</v>
      </c>
    </row>
    <row r="41" spans="1:17">
      <c r="A41" s="1" t="s">
        <v>15</v>
      </c>
      <c r="B41" s="1" t="s">
        <v>24</v>
      </c>
      <c r="C41" s="2">
        <v>28.26</v>
      </c>
      <c r="D41" s="2">
        <v>27.81</v>
      </c>
      <c r="E41" s="2">
        <v>27.35</v>
      </c>
      <c r="F41" s="2">
        <v>26.93</v>
      </c>
      <c r="G41" s="2">
        <v>26.56</v>
      </c>
      <c r="H41" s="2">
        <v>25.94</v>
      </c>
      <c r="I41" s="2">
        <v>25.43</v>
      </c>
      <c r="J41" s="2">
        <v>24.91</v>
      </c>
      <c r="K41" s="2">
        <v>24.39</v>
      </c>
      <c r="L41" s="2">
        <v>23.92</v>
      </c>
      <c r="M41" s="2">
        <v>22.77</v>
      </c>
      <c r="N41" s="2">
        <v>21.05</v>
      </c>
      <c r="O41" s="2">
        <v>19.18</v>
      </c>
      <c r="P41" s="2">
        <v>18.13</v>
      </c>
      <c r="Q41" s="2">
        <v>16.97</v>
      </c>
    </row>
    <row r="42" spans="1:17">
      <c r="A42" s="1"/>
      <c r="B42" s="1" t="s">
        <v>25</v>
      </c>
      <c r="C42" s="2">
        <v>2.14</v>
      </c>
      <c r="D42" s="2">
        <v>2.14</v>
      </c>
      <c r="E42" s="2">
        <v>2.14</v>
      </c>
      <c r="F42" s="2">
        <v>2.14</v>
      </c>
      <c r="G42" s="2">
        <v>2.13</v>
      </c>
      <c r="H42" s="2">
        <v>2.14</v>
      </c>
      <c r="I42" s="2">
        <v>2.15</v>
      </c>
      <c r="J42" s="2">
        <v>2.16</v>
      </c>
      <c r="K42" s="2">
        <v>2.16</v>
      </c>
      <c r="L42" s="2">
        <v>2.16</v>
      </c>
      <c r="M42" s="2">
        <v>2.16</v>
      </c>
      <c r="N42" s="2">
        <v>2.15</v>
      </c>
      <c r="O42" s="2">
        <v>2.11</v>
      </c>
      <c r="P42" s="2">
        <v>1.97</v>
      </c>
      <c r="Q42" s="2">
        <v>1.86</v>
      </c>
    </row>
    <row r="43" spans="1:17">
      <c r="A43" t="s">
        <v>26</v>
      </c>
    </row>
    <row r="47" spans="1:17">
      <c r="A47" t="s">
        <v>24</v>
      </c>
    </row>
    <row r="48" spans="1:17">
      <c r="A48" s="1" t="s">
        <v>0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12</v>
      </c>
      <c r="M48">
        <v>15</v>
      </c>
      <c r="N48">
        <v>20</v>
      </c>
      <c r="O48">
        <v>25</v>
      </c>
      <c r="P48">
        <v>30</v>
      </c>
    </row>
    <row r="49" spans="1:16">
      <c r="A49">
        <f>1/12</f>
        <v>8.3333333333333329E-2</v>
      </c>
      <c r="B49">
        <f>C5/100</f>
        <v>0.52180000000000004</v>
      </c>
      <c r="C49">
        <f t="shared" ref="C49:O49" si="0">D5/100</f>
        <v>0.49530000000000002</v>
      </c>
      <c r="D49">
        <f t="shared" si="0"/>
        <v>0.52670000000000006</v>
      </c>
      <c r="E49">
        <f t="shared" si="0"/>
        <v>0.53210000000000002</v>
      </c>
      <c r="F49">
        <f t="shared" si="0"/>
        <v>0.51170000000000004</v>
      </c>
      <c r="G49">
        <f t="shared" si="0"/>
        <v>0.48869999999999997</v>
      </c>
      <c r="H49">
        <f t="shared" si="0"/>
        <v>0.4667</v>
      </c>
      <c r="I49">
        <f t="shared" si="0"/>
        <v>0.44819999999999999</v>
      </c>
      <c r="J49">
        <f t="shared" si="0"/>
        <v>0.43280000000000002</v>
      </c>
      <c r="K49">
        <f t="shared" si="0"/>
        <v>0.41899999999999998</v>
      </c>
      <c r="L49">
        <f t="shared" si="0"/>
        <v>0.38429999999999997</v>
      </c>
      <c r="M49">
        <f t="shared" si="0"/>
        <v>0.3337</v>
      </c>
      <c r="N49">
        <f t="shared" si="0"/>
        <v>0.31670000000000004</v>
      </c>
      <c r="O49">
        <f t="shared" si="0"/>
        <v>0.31859999999999999</v>
      </c>
      <c r="P49">
        <f>Q5/100</f>
        <v>0.32850000000000001</v>
      </c>
    </row>
    <row r="50" spans="1:16">
      <c r="A50">
        <f>1/4</f>
        <v>0.25</v>
      </c>
      <c r="B50">
        <f t="shared" ref="B50:O50" si="1">C7/100</f>
        <v>0.50029999999999997</v>
      </c>
      <c r="C50">
        <f t="shared" si="1"/>
        <v>0.47899999999999998</v>
      </c>
      <c r="D50">
        <f t="shared" si="1"/>
        <v>0.51560000000000006</v>
      </c>
      <c r="E50">
        <f t="shared" si="1"/>
        <v>0.51739999999999997</v>
      </c>
      <c r="F50">
        <f t="shared" si="1"/>
        <v>0.50919999999999999</v>
      </c>
      <c r="G50">
        <f t="shared" si="1"/>
        <v>0.47520000000000001</v>
      </c>
      <c r="H50">
        <f t="shared" si="1"/>
        <v>0.45030000000000003</v>
      </c>
      <c r="I50">
        <f t="shared" si="1"/>
        <v>0.43270000000000003</v>
      </c>
      <c r="J50">
        <f t="shared" si="1"/>
        <v>0.41479999999999995</v>
      </c>
      <c r="K50">
        <f t="shared" si="1"/>
        <v>0.3997</v>
      </c>
      <c r="L50">
        <f t="shared" si="1"/>
        <v>0.36630000000000001</v>
      </c>
      <c r="M50">
        <f t="shared" si="1"/>
        <v>0.31769999999999998</v>
      </c>
      <c r="N50">
        <f t="shared" si="1"/>
        <v>0.29620000000000002</v>
      </c>
      <c r="O50">
        <f t="shared" si="1"/>
        <v>0.29109999999999997</v>
      </c>
      <c r="P50">
        <f t="shared" ref="P50" si="2">Q7/100</f>
        <v>0.2954</v>
      </c>
    </row>
    <row r="51" spans="1:16">
      <c r="A51">
        <v>0.5</v>
      </c>
      <c r="B51">
        <f t="shared" ref="B51:O51" si="3">C9/100</f>
        <v>0.49099999999999999</v>
      </c>
      <c r="C51">
        <f t="shared" si="3"/>
        <v>0.48780000000000001</v>
      </c>
      <c r="D51">
        <f t="shared" si="3"/>
        <v>0.51880000000000004</v>
      </c>
      <c r="E51">
        <f t="shared" si="3"/>
        <v>0.51439999999999997</v>
      </c>
      <c r="F51">
        <f t="shared" si="3"/>
        <v>0.49689999999999995</v>
      </c>
      <c r="G51">
        <f t="shared" si="3"/>
        <v>0.46659999999999996</v>
      </c>
      <c r="H51">
        <f t="shared" si="3"/>
        <v>0.43740000000000001</v>
      </c>
      <c r="I51">
        <f t="shared" si="3"/>
        <v>0.41820000000000002</v>
      </c>
      <c r="J51">
        <f t="shared" si="3"/>
        <v>0.40210000000000001</v>
      </c>
      <c r="K51">
        <f t="shared" si="3"/>
        <v>0.38679999999999998</v>
      </c>
      <c r="L51">
        <f t="shared" si="3"/>
        <v>0.35470000000000002</v>
      </c>
      <c r="M51">
        <f t="shared" si="3"/>
        <v>0.30909999999999999</v>
      </c>
      <c r="N51">
        <f t="shared" si="3"/>
        <v>0.28889999999999999</v>
      </c>
      <c r="O51">
        <f t="shared" si="3"/>
        <v>0.28360000000000002</v>
      </c>
      <c r="P51">
        <f t="shared" ref="P51" si="4">Q9/100</f>
        <v>0.28710000000000002</v>
      </c>
    </row>
    <row r="52" spans="1:16">
      <c r="A52">
        <f>3/4</f>
        <v>0.75</v>
      </c>
      <c r="B52">
        <f t="shared" ref="B52:O52" si="5">C11/100</f>
        <v>0.52039999999999997</v>
      </c>
      <c r="C52">
        <f t="shared" si="5"/>
        <v>0.53500000000000003</v>
      </c>
      <c r="D52">
        <f t="shared" si="5"/>
        <v>0.55330000000000001</v>
      </c>
      <c r="E52">
        <f t="shared" si="5"/>
        <v>0.53969999999999996</v>
      </c>
      <c r="F52">
        <f t="shared" si="5"/>
        <v>0.5151</v>
      </c>
      <c r="G52">
        <f t="shared" si="5"/>
        <v>0.47970000000000002</v>
      </c>
      <c r="H52">
        <f t="shared" si="5"/>
        <v>0.44850000000000001</v>
      </c>
      <c r="I52">
        <f t="shared" si="5"/>
        <v>0.4269</v>
      </c>
      <c r="J52">
        <f t="shared" si="5"/>
        <v>0.4093</v>
      </c>
      <c r="K52">
        <f t="shared" si="5"/>
        <v>0.39360000000000001</v>
      </c>
      <c r="L52">
        <f t="shared" si="5"/>
        <v>0.36200000000000004</v>
      </c>
      <c r="M52">
        <f t="shared" si="5"/>
        <v>0.31780000000000003</v>
      </c>
      <c r="N52">
        <f t="shared" si="5"/>
        <v>0.29670000000000002</v>
      </c>
      <c r="O52">
        <f t="shared" si="5"/>
        <v>0.29059999999999997</v>
      </c>
      <c r="P52">
        <f t="shared" ref="P52" si="6">Q11/100</f>
        <v>0.2923</v>
      </c>
    </row>
    <row r="53" spans="1:16">
      <c r="A53">
        <v>1</v>
      </c>
      <c r="B53">
        <f t="shared" ref="B53:O53" si="7">C13/100</f>
        <v>0.5514</v>
      </c>
      <c r="C53">
        <f t="shared" si="7"/>
        <v>0.5847</v>
      </c>
      <c r="D53">
        <f t="shared" si="7"/>
        <v>0.5897</v>
      </c>
      <c r="E53">
        <f t="shared" si="7"/>
        <v>0.56640000000000001</v>
      </c>
      <c r="F53">
        <f t="shared" si="7"/>
        <v>0.5343</v>
      </c>
      <c r="G53">
        <f t="shared" si="7"/>
        <v>0.49340000000000006</v>
      </c>
      <c r="H53">
        <f t="shared" si="7"/>
        <v>0.46029999999999999</v>
      </c>
      <c r="I53">
        <f t="shared" si="7"/>
        <v>0.436</v>
      </c>
      <c r="J53">
        <f t="shared" si="7"/>
        <v>0.41689999999999999</v>
      </c>
      <c r="K53">
        <f t="shared" si="7"/>
        <v>0.4007</v>
      </c>
      <c r="L53">
        <f t="shared" si="7"/>
        <v>0.36979999999999996</v>
      </c>
      <c r="M53">
        <f t="shared" si="7"/>
        <v>0.3271</v>
      </c>
      <c r="N53">
        <f t="shared" si="7"/>
        <v>0.30510000000000004</v>
      </c>
      <c r="O53">
        <f t="shared" si="7"/>
        <v>0.29809999999999998</v>
      </c>
      <c r="P53">
        <f t="shared" ref="P53" si="8">Q13/100</f>
        <v>0.2979</v>
      </c>
    </row>
    <row r="54" spans="1:16">
      <c r="A54">
        <f>2</f>
        <v>2</v>
      </c>
      <c r="B54">
        <f t="shared" ref="B54:O54" si="9">C15/100</f>
        <v>0.6663</v>
      </c>
      <c r="C54">
        <f t="shared" si="9"/>
        <v>0.6764</v>
      </c>
      <c r="D54">
        <f t="shared" si="9"/>
        <v>0.626</v>
      </c>
      <c r="E54">
        <f t="shared" si="9"/>
        <v>0.56659999999999999</v>
      </c>
      <c r="F54">
        <f t="shared" si="9"/>
        <v>0.5202</v>
      </c>
      <c r="G54">
        <f t="shared" si="9"/>
        <v>0.47889999999999999</v>
      </c>
      <c r="H54">
        <f t="shared" si="9"/>
        <v>0.4476</v>
      </c>
      <c r="I54">
        <f t="shared" si="9"/>
        <v>0.42320000000000002</v>
      </c>
      <c r="J54">
        <f t="shared" si="9"/>
        <v>0.4078</v>
      </c>
      <c r="K54">
        <f t="shared" si="9"/>
        <v>0.39429999999999998</v>
      </c>
      <c r="L54">
        <f t="shared" si="9"/>
        <v>0.36869999999999997</v>
      </c>
      <c r="M54">
        <f t="shared" si="9"/>
        <v>0.3322</v>
      </c>
      <c r="N54">
        <f t="shared" si="9"/>
        <v>0.31569999999999998</v>
      </c>
      <c r="O54">
        <f t="shared" si="9"/>
        <v>0.30959999999999999</v>
      </c>
      <c r="P54">
        <f t="shared" ref="P54" si="10">Q15/100</f>
        <v>0.3075</v>
      </c>
    </row>
    <row r="55" spans="1:16">
      <c r="A55">
        <v>3</v>
      </c>
      <c r="B55">
        <f t="shared" ref="B55:O55" si="11">C17/100</f>
        <v>0.71389999999999998</v>
      </c>
      <c r="C55">
        <f t="shared" si="11"/>
        <v>0.66010000000000002</v>
      </c>
      <c r="D55">
        <f t="shared" si="11"/>
        <v>0.58729999999999993</v>
      </c>
      <c r="E55">
        <f t="shared" si="11"/>
        <v>0.52710000000000001</v>
      </c>
      <c r="F55">
        <f t="shared" si="11"/>
        <v>0.48210000000000003</v>
      </c>
      <c r="G55">
        <f t="shared" si="11"/>
        <v>0.44659999999999994</v>
      </c>
      <c r="H55">
        <f t="shared" si="11"/>
        <v>0.4199</v>
      </c>
      <c r="I55">
        <f t="shared" si="11"/>
        <v>0.40039999999999998</v>
      </c>
      <c r="J55">
        <f t="shared" si="11"/>
        <v>0.3856</v>
      </c>
      <c r="K55">
        <f t="shared" si="11"/>
        <v>0.37390000000000001</v>
      </c>
      <c r="L55">
        <f t="shared" si="11"/>
        <v>0.35420000000000001</v>
      </c>
      <c r="M55">
        <f t="shared" si="11"/>
        <v>0.3251</v>
      </c>
      <c r="N55">
        <f t="shared" si="11"/>
        <v>0.312</v>
      </c>
      <c r="O55">
        <f t="shared" si="11"/>
        <v>0.30599999999999999</v>
      </c>
      <c r="P55">
        <f t="shared" ref="P55" si="12">Q17/100</f>
        <v>0.30280000000000001</v>
      </c>
    </row>
    <row r="56" spans="1:16">
      <c r="A56">
        <v>4</v>
      </c>
      <c r="B56">
        <f t="shared" ref="B56:O56" si="13">C19/100</f>
        <v>0.63729999999999998</v>
      </c>
      <c r="C56">
        <f t="shared" si="13"/>
        <v>0.56479999999999997</v>
      </c>
      <c r="D56">
        <f t="shared" si="13"/>
        <v>0.50319999999999998</v>
      </c>
      <c r="E56">
        <f t="shared" si="13"/>
        <v>0.46090000000000003</v>
      </c>
      <c r="F56">
        <f t="shared" si="13"/>
        <v>0.43009999999999998</v>
      </c>
      <c r="G56">
        <f t="shared" si="13"/>
        <v>0.40670000000000001</v>
      </c>
      <c r="H56">
        <f t="shared" si="13"/>
        <v>0.38770000000000004</v>
      </c>
      <c r="I56">
        <f t="shared" si="13"/>
        <v>0.37359999999999999</v>
      </c>
      <c r="J56">
        <f t="shared" si="13"/>
        <v>0.36369999999999997</v>
      </c>
      <c r="K56">
        <f t="shared" si="13"/>
        <v>0.35560000000000003</v>
      </c>
      <c r="L56">
        <f t="shared" si="13"/>
        <v>0.34009999999999996</v>
      </c>
      <c r="M56">
        <f t="shared" si="13"/>
        <v>0.31730000000000003</v>
      </c>
      <c r="N56">
        <f t="shared" si="13"/>
        <v>0.308</v>
      </c>
      <c r="O56">
        <f t="shared" si="13"/>
        <v>0.30260000000000004</v>
      </c>
      <c r="P56">
        <f t="shared" ref="P56" si="14">Q19/100</f>
        <v>0.29699999999999999</v>
      </c>
    </row>
    <row r="57" spans="1:16">
      <c r="A57">
        <v>5</v>
      </c>
      <c r="B57">
        <f t="shared" ref="B57:O57" si="15">C21/100</f>
        <v>0.51700000000000002</v>
      </c>
      <c r="C57">
        <f t="shared" si="15"/>
        <v>0.47549999999999998</v>
      </c>
      <c r="D57">
        <f t="shared" si="15"/>
        <v>0.43320000000000003</v>
      </c>
      <c r="E57">
        <f t="shared" si="15"/>
        <v>0.40539999999999998</v>
      </c>
      <c r="F57">
        <f t="shared" si="15"/>
        <v>0.38679999999999998</v>
      </c>
      <c r="G57">
        <f t="shared" si="15"/>
        <v>0.37140000000000001</v>
      </c>
      <c r="H57">
        <f t="shared" si="15"/>
        <v>0.36030000000000001</v>
      </c>
      <c r="I57">
        <f t="shared" si="15"/>
        <v>0.35200000000000004</v>
      </c>
      <c r="J57">
        <f t="shared" si="15"/>
        <v>0.3448</v>
      </c>
      <c r="K57">
        <f t="shared" si="15"/>
        <v>0.33929999999999999</v>
      </c>
      <c r="L57">
        <f t="shared" si="15"/>
        <v>0.32750000000000001</v>
      </c>
      <c r="M57">
        <f t="shared" si="15"/>
        <v>0.30940000000000001</v>
      </c>
      <c r="N57">
        <f t="shared" si="15"/>
        <v>0.3034</v>
      </c>
      <c r="O57">
        <f t="shared" si="15"/>
        <v>0.29770000000000002</v>
      </c>
      <c r="P57">
        <f t="shared" ref="P57" si="16">Q21/100</f>
        <v>0.29020000000000001</v>
      </c>
    </row>
    <row r="58" spans="1:16">
      <c r="A58">
        <v>6</v>
      </c>
      <c r="B58">
        <f t="shared" ref="B58:O58" si="17">C23/100</f>
        <v>0.44689999999999996</v>
      </c>
      <c r="C58">
        <f t="shared" si="17"/>
        <v>0.4168</v>
      </c>
      <c r="D58">
        <f t="shared" si="17"/>
        <v>0.38719999999999999</v>
      </c>
      <c r="E58">
        <f t="shared" si="17"/>
        <v>0.36770000000000003</v>
      </c>
      <c r="F58">
        <f t="shared" si="17"/>
        <v>0.35460000000000003</v>
      </c>
      <c r="G58">
        <f t="shared" si="17"/>
        <v>0.34409999999999996</v>
      </c>
      <c r="H58">
        <f t="shared" si="17"/>
        <v>0.33710000000000001</v>
      </c>
      <c r="I58">
        <f t="shared" si="17"/>
        <v>0.33229999999999998</v>
      </c>
      <c r="J58">
        <f t="shared" si="17"/>
        <v>0.32729999999999998</v>
      </c>
      <c r="K58">
        <f t="shared" si="17"/>
        <v>0.32479999999999998</v>
      </c>
      <c r="L58">
        <f t="shared" si="17"/>
        <v>0.31489999999999996</v>
      </c>
      <c r="M58">
        <f t="shared" si="17"/>
        <v>0.3004</v>
      </c>
      <c r="N58">
        <f t="shared" si="17"/>
        <v>0.29410000000000003</v>
      </c>
      <c r="O58">
        <f t="shared" si="17"/>
        <v>0.28770000000000001</v>
      </c>
      <c r="P58">
        <f t="shared" ref="P58" si="18">Q23/100</f>
        <v>0.27929999999999999</v>
      </c>
    </row>
    <row r="59" spans="1:16">
      <c r="A59">
        <v>7</v>
      </c>
      <c r="B59">
        <f t="shared" ref="B59:O59" si="19">C25/100</f>
        <v>0.37770000000000004</v>
      </c>
      <c r="C59">
        <f t="shared" si="19"/>
        <v>0.36109999999999998</v>
      </c>
      <c r="D59">
        <f t="shared" si="19"/>
        <v>0.34409999999999996</v>
      </c>
      <c r="E59">
        <f t="shared" si="19"/>
        <v>0.33250000000000002</v>
      </c>
      <c r="F59">
        <f t="shared" si="19"/>
        <v>0.32450000000000001</v>
      </c>
      <c r="G59">
        <f t="shared" si="19"/>
        <v>0.31920000000000004</v>
      </c>
      <c r="H59">
        <f t="shared" si="19"/>
        <v>0.31530000000000002</v>
      </c>
      <c r="I59">
        <f t="shared" si="19"/>
        <v>0.31379999999999997</v>
      </c>
      <c r="J59">
        <f t="shared" si="19"/>
        <v>0.31230000000000002</v>
      </c>
      <c r="K59">
        <f t="shared" si="19"/>
        <v>0.31129999999999997</v>
      </c>
      <c r="L59">
        <f t="shared" si="19"/>
        <v>0.30320000000000003</v>
      </c>
      <c r="M59">
        <f t="shared" si="19"/>
        <v>0.29220000000000002</v>
      </c>
      <c r="N59">
        <f t="shared" si="19"/>
        <v>0.28550000000000003</v>
      </c>
      <c r="O59">
        <f t="shared" si="19"/>
        <v>0.27810000000000001</v>
      </c>
      <c r="P59">
        <f t="shared" ref="P59" si="20">Q25/100</f>
        <v>0.26879999999999998</v>
      </c>
    </row>
    <row r="60" spans="1:16">
      <c r="A60">
        <v>8</v>
      </c>
      <c r="B60">
        <f t="shared" ref="B60:O60" si="21">C27/100</f>
        <v>0.35100000000000003</v>
      </c>
      <c r="C60">
        <f t="shared" si="21"/>
        <v>0.33929999999999999</v>
      </c>
      <c r="D60">
        <f t="shared" si="21"/>
        <v>0.32600000000000001</v>
      </c>
      <c r="E60">
        <f t="shared" si="21"/>
        <v>0.31829999999999997</v>
      </c>
      <c r="F60">
        <f t="shared" si="21"/>
        <v>0.31390000000000001</v>
      </c>
      <c r="G60">
        <f t="shared" si="21"/>
        <v>0.30969999999999998</v>
      </c>
      <c r="H60">
        <f t="shared" si="21"/>
        <v>0.30640000000000001</v>
      </c>
      <c r="I60">
        <f t="shared" si="21"/>
        <v>0.30680000000000002</v>
      </c>
      <c r="J60">
        <f t="shared" si="21"/>
        <v>0.30640000000000001</v>
      </c>
      <c r="K60">
        <f t="shared" si="21"/>
        <v>0.30599999999999999</v>
      </c>
      <c r="L60">
        <f t="shared" si="21"/>
        <v>0.29820000000000002</v>
      </c>
      <c r="M60">
        <f t="shared" si="21"/>
        <v>0.28850000000000003</v>
      </c>
      <c r="N60">
        <f t="shared" si="21"/>
        <v>0.28059999999999996</v>
      </c>
      <c r="O60">
        <f t="shared" si="21"/>
        <v>0.27229999999999999</v>
      </c>
      <c r="P60">
        <f t="shared" ref="P60" si="22">Q27/100</f>
        <v>0.26250000000000001</v>
      </c>
    </row>
    <row r="61" spans="1:16">
      <c r="A61">
        <v>9</v>
      </c>
      <c r="B61">
        <f t="shared" ref="B61:O61" si="23">C29/100</f>
        <v>0.32719999999999999</v>
      </c>
      <c r="C61">
        <f t="shared" si="23"/>
        <v>0.32030000000000003</v>
      </c>
      <c r="D61">
        <f t="shared" si="23"/>
        <v>0.31079999999999997</v>
      </c>
      <c r="E61">
        <f t="shared" si="23"/>
        <v>0.30690000000000001</v>
      </c>
      <c r="F61">
        <f t="shared" si="23"/>
        <v>0.30409999999999998</v>
      </c>
      <c r="G61">
        <f t="shared" si="23"/>
        <v>0.30109999999999998</v>
      </c>
      <c r="H61">
        <f t="shared" si="23"/>
        <v>0.3004</v>
      </c>
      <c r="I61">
        <f t="shared" si="23"/>
        <v>0.30079999999999996</v>
      </c>
      <c r="J61">
        <f t="shared" si="23"/>
        <v>0.30130000000000001</v>
      </c>
      <c r="K61">
        <f t="shared" si="23"/>
        <v>0.30149999999999999</v>
      </c>
      <c r="L61">
        <f t="shared" si="23"/>
        <v>0.29480000000000001</v>
      </c>
      <c r="M61">
        <f t="shared" si="23"/>
        <v>0.2853</v>
      </c>
      <c r="N61">
        <f t="shared" si="23"/>
        <v>0.2762</v>
      </c>
      <c r="O61">
        <f t="shared" si="23"/>
        <v>0.26679999999999998</v>
      </c>
      <c r="P61">
        <f t="shared" ref="P61" si="24">Q29/100</f>
        <v>0.25650000000000001</v>
      </c>
    </row>
    <row r="62" spans="1:16">
      <c r="A62">
        <v>10</v>
      </c>
      <c r="B62">
        <f t="shared" ref="B62:O62" si="25">C31/100</f>
        <v>0.30459999999999998</v>
      </c>
      <c r="C62">
        <f t="shared" si="25"/>
        <v>0.3029</v>
      </c>
      <c r="D62">
        <f t="shared" si="25"/>
        <v>0.29770000000000002</v>
      </c>
      <c r="E62">
        <f t="shared" si="25"/>
        <v>0.29570000000000002</v>
      </c>
      <c r="F62">
        <f t="shared" si="25"/>
        <v>0.29460000000000003</v>
      </c>
      <c r="G62">
        <f t="shared" si="25"/>
        <v>0.29480000000000001</v>
      </c>
      <c r="H62">
        <f t="shared" si="25"/>
        <v>0.2949</v>
      </c>
      <c r="I62">
        <f t="shared" si="25"/>
        <v>0.29510000000000003</v>
      </c>
      <c r="J62">
        <f t="shared" si="25"/>
        <v>0.29659999999999997</v>
      </c>
      <c r="K62">
        <f t="shared" si="25"/>
        <v>0.2974</v>
      </c>
      <c r="L62">
        <f t="shared" si="25"/>
        <v>0.2918</v>
      </c>
      <c r="M62">
        <f t="shared" si="25"/>
        <v>0.28260000000000002</v>
      </c>
      <c r="N62">
        <f t="shared" si="25"/>
        <v>0.27210000000000001</v>
      </c>
      <c r="O62">
        <f t="shared" si="25"/>
        <v>0.26150000000000001</v>
      </c>
      <c r="P62">
        <f t="shared" ref="P62" si="26">Q31/100</f>
        <v>0.25069999999999998</v>
      </c>
    </row>
    <row r="63" spans="1:16">
      <c r="A63">
        <v>12</v>
      </c>
      <c r="B63">
        <f t="shared" ref="B63:O63" si="27">C33/100</f>
        <v>0.29339999999999999</v>
      </c>
      <c r="C63">
        <f t="shared" si="27"/>
        <v>0.2928</v>
      </c>
      <c r="D63">
        <f t="shared" si="27"/>
        <v>0.28850000000000003</v>
      </c>
      <c r="E63">
        <f t="shared" si="27"/>
        <v>0.29059999999999997</v>
      </c>
      <c r="F63">
        <f t="shared" si="27"/>
        <v>0.29220000000000002</v>
      </c>
      <c r="G63">
        <f t="shared" si="27"/>
        <v>0.29199999999999998</v>
      </c>
      <c r="H63">
        <f t="shared" si="27"/>
        <v>0.29220000000000002</v>
      </c>
      <c r="I63">
        <f t="shared" si="27"/>
        <v>0.29299999999999998</v>
      </c>
      <c r="J63">
        <f t="shared" si="27"/>
        <v>0.29520000000000002</v>
      </c>
      <c r="K63">
        <f t="shared" si="27"/>
        <v>0.29659999999999997</v>
      </c>
      <c r="L63">
        <f t="shared" si="27"/>
        <v>0.28960000000000002</v>
      </c>
      <c r="M63">
        <f t="shared" si="27"/>
        <v>0.27910000000000001</v>
      </c>
      <c r="N63">
        <f t="shared" si="27"/>
        <v>0.26519999999999999</v>
      </c>
      <c r="O63">
        <f t="shared" si="27"/>
        <v>0.25280000000000002</v>
      </c>
      <c r="P63">
        <f t="shared" ref="P63" si="28">Q33/100</f>
        <v>0.24210000000000001</v>
      </c>
    </row>
    <row r="64" spans="1:16">
      <c r="A64">
        <v>15</v>
      </c>
      <c r="B64">
        <f t="shared" ref="B64:O64" si="29">C35/100</f>
        <v>0.2792</v>
      </c>
      <c r="C64">
        <f t="shared" si="29"/>
        <v>0.28300000000000003</v>
      </c>
      <c r="D64">
        <f t="shared" si="29"/>
        <v>0.28320000000000001</v>
      </c>
      <c r="E64">
        <f t="shared" si="29"/>
        <v>0.28600000000000003</v>
      </c>
      <c r="F64">
        <f t="shared" si="29"/>
        <v>0.28800000000000003</v>
      </c>
      <c r="G64">
        <f t="shared" si="29"/>
        <v>0.2893</v>
      </c>
      <c r="H64">
        <f t="shared" si="29"/>
        <v>0.29149999999999998</v>
      </c>
      <c r="I64">
        <f t="shared" si="29"/>
        <v>0.29410000000000003</v>
      </c>
      <c r="J64">
        <f t="shared" si="29"/>
        <v>0.29530000000000001</v>
      </c>
      <c r="K64">
        <f t="shared" si="29"/>
        <v>0.29620000000000002</v>
      </c>
      <c r="L64">
        <f t="shared" si="29"/>
        <v>0.28789999999999999</v>
      </c>
      <c r="M64">
        <f t="shared" si="29"/>
        <v>0.2747</v>
      </c>
      <c r="N64">
        <f t="shared" si="29"/>
        <v>0.25540000000000002</v>
      </c>
      <c r="O64">
        <f t="shared" si="29"/>
        <v>0.24010000000000001</v>
      </c>
      <c r="P64">
        <f t="shared" ref="P64" si="30">Q35/100</f>
        <v>0.2296</v>
      </c>
    </row>
    <row r="65" spans="1:16">
      <c r="A65">
        <v>20</v>
      </c>
      <c r="B65">
        <f t="shared" ref="B65:O65" si="31">C37/100</f>
        <v>0.28410000000000002</v>
      </c>
      <c r="C65">
        <f t="shared" si="31"/>
        <v>0.29089999999999999</v>
      </c>
      <c r="D65">
        <f t="shared" si="31"/>
        <v>0.29149999999999998</v>
      </c>
      <c r="E65">
        <f t="shared" si="31"/>
        <v>0.29370000000000002</v>
      </c>
      <c r="F65">
        <f t="shared" si="31"/>
        <v>0.2969</v>
      </c>
      <c r="G65">
        <f t="shared" si="31"/>
        <v>0.29809999999999998</v>
      </c>
      <c r="H65">
        <f t="shared" si="31"/>
        <v>0.29949999999999999</v>
      </c>
      <c r="I65">
        <f t="shared" si="31"/>
        <v>0.29969999999999997</v>
      </c>
      <c r="J65">
        <f t="shared" si="31"/>
        <v>0.2989</v>
      </c>
      <c r="K65">
        <f t="shared" si="31"/>
        <v>0.29670000000000002</v>
      </c>
      <c r="L65">
        <f t="shared" si="31"/>
        <v>0.28249999999999997</v>
      </c>
      <c r="M65">
        <f t="shared" si="31"/>
        <v>0.26129999999999998</v>
      </c>
      <c r="N65">
        <f t="shared" si="31"/>
        <v>0.23379999999999998</v>
      </c>
      <c r="O65">
        <f t="shared" si="31"/>
        <v>0.22039999999999998</v>
      </c>
      <c r="P65">
        <f t="shared" ref="P65" si="32">Q37/100</f>
        <v>0.21010000000000001</v>
      </c>
    </row>
    <row r="66" spans="1:16">
      <c r="A66">
        <v>25</v>
      </c>
      <c r="B66">
        <f t="shared" ref="B66:O66" si="33">C39/100</f>
        <v>0.29189999999999999</v>
      </c>
      <c r="C66">
        <f t="shared" si="33"/>
        <v>0.29630000000000001</v>
      </c>
      <c r="D66">
        <f t="shared" si="33"/>
        <v>0.29570000000000002</v>
      </c>
      <c r="E66">
        <f t="shared" si="33"/>
        <v>0.29449999999999998</v>
      </c>
      <c r="F66">
        <f t="shared" si="33"/>
        <v>0.29330000000000001</v>
      </c>
      <c r="G66">
        <f t="shared" si="33"/>
        <v>0.28920000000000001</v>
      </c>
      <c r="H66">
        <f t="shared" si="33"/>
        <v>0.28589999999999999</v>
      </c>
      <c r="I66">
        <f t="shared" si="33"/>
        <v>0.28179999999999999</v>
      </c>
      <c r="J66">
        <f t="shared" si="33"/>
        <v>0.27760000000000001</v>
      </c>
      <c r="K66">
        <f t="shared" si="33"/>
        <v>0.27260000000000001</v>
      </c>
      <c r="L66">
        <f t="shared" si="33"/>
        <v>0.25780000000000003</v>
      </c>
      <c r="M66">
        <f t="shared" si="33"/>
        <v>0.2359</v>
      </c>
      <c r="N66">
        <f t="shared" si="33"/>
        <v>0.21199999999999999</v>
      </c>
      <c r="O66">
        <f t="shared" si="33"/>
        <v>0.20149999999999998</v>
      </c>
      <c r="P66">
        <f t="shared" ref="P66" si="34">Q39/100</f>
        <v>0.18989999999999999</v>
      </c>
    </row>
    <row r="67" spans="1:16">
      <c r="A67">
        <v>30</v>
      </c>
      <c r="B67">
        <f t="shared" ref="B67:O67" si="35">C41/100</f>
        <v>0.28260000000000002</v>
      </c>
      <c r="C67">
        <f t="shared" si="35"/>
        <v>0.27810000000000001</v>
      </c>
      <c r="D67">
        <f t="shared" si="35"/>
        <v>0.27350000000000002</v>
      </c>
      <c r="E67">
        <f t="shared" si="35"/>
        <v>0.26929999999999998</v>
      </c>
      <c r="F67">
        <f t="shared" si="35"/>
        <v>0.2656</v>
      </c>
      <c r="G67">
        <f t="shared" si="35"/>
        <v>0.25940000000000002</v>
      </c>
      <c r="H67">
        <f t="shared" si="35"/>
        <v>0.25429999999999997</v>
      </c>
      <c r="I67">
        <f t="shared" si="35"/>
        <v>0.24909999999999999</v>
      </c>
      <c r="J67">
        <f t="shared" si="35"/>
        <v>0.24390000000000001</v>
      </c>
      <c r="K67">
        <f t="shared" si="35"/>
        <v>0.23920000000000002</v>
      </c>
      <c r="L67">
        <f t="shared" si="35"/>
        <v>0.22769999999999999</v>
      </c>
      <c r="M67">
        <f t="shared" si="35"/>
        <v>0.21050000000000002</v>
      </c>
      <c r="N67">
        <f t="shared" si="35"/>
        <v>0.1918</v>
      </c>
      <c r="O67">
        <f t="shared" si="35"/>
        <v>0.18129999999999999</v>
      </c>
      <c r="P67">
        <f t="shared" ref="P67" si="36">Q41/100</f>
        <v>0.16969999999999999</v>
      </c>
    </row>
    <row r="70" spans="1:16">
      <c r="A70" t="s">
        <v>25</v>
      </c>
    </row>
    <row r="71" spans="1:16">
      <c r="A71" s="1" t="s">
        <v>0</v>
      </c>
      <c r="B71" s="2" t="s">
        <v>1</v>
      </c>
      <c r="C71" s="2" t="s">
        <v>2</v>
      </c>
      <c r="D71" s="2" t="s">
        <v>3</v>
      </c>
      <c r="E71" s="2" t="s">
        <v>4</v>
      </c>
      <c r="F71" s="2" t="s">
        <v>5</v>
      </c>
      <c r="G71" s="2" t="s">
        <v>6</v>
      </c>
      <c r="H71" s="2" t="s">
        <v>7</v>
      </c>
      <c r="I71" s="2" t="s">
        <v>8</v>
      </c>
      <c r="J71" s="2" t="s">
        <v>9</v>
      </c>
      <c r="K71" s="2" t="s">
        <v>10</v>
      </c>
      <c r="L71" s="2" t="s">
        <v>11</v>
      </c>
      <c r="M71" s="2" t="s">
        <v>12</v>
      </c>
      <c r="N71" s="2" t="s">
        <v>13</v>
      </c>
      <c r="O71" s="2" t="s">
        <v>14</v>
      </c>
      <c r="P71" s="2" t="s">
        <v>15</v>
      </c>
    </row>
    <row r="72" spans="1:16">
      <c r="A72">
        <f>1/12</f>
        <v>8.3333333333333329E-2</v>
      </c>
      <c r="B72">
        <f t="shared" ref="B72:P72" si="37">C6/100</f>
        <v>2.8999999999999998E-3</v>
      </c>
      <c r="C72">
        <f t="shared" si="37"/>
        <v>3.2000000000000002E-3</v>
      </c>
      <c r="D72">
        <f t="shared" si="37"/>
        <v>3.8E-3</v>
      </c>
      <c r="E72">
        <f t="shared" si="37"/>
        <v>4.7999999999999996E-3</v>
      </c>
      <c r="F72">
        <f t="shared" si="37"/>
        <v>6.0000000000000001E-3</v>
      </c>
      <c r="G72">
        <f t="shared" si="37"/>
        <v>7.3000000000000001E-3</v>
      </c>
      <c r="H72">
        <f t="shared" si="37"/>
        <v>8.8000000000000005E-3</v>
      </c>
      <c r="I72">
        <f t="shared" si="37"/>
        <v>1.0200000000000001E-2</v>
      </c>
      <c r="J72">
        <f t="shared" si="37"/>
        <v>1.15E-2</v>
      </c>
      <c r="K72">
        <f t="shared" si="37"/>
        <v>1.2699999999999999E-2</v>
      </c>
      <c r="L72">
        <f t="shared" si="37"/>
        <v>1.47E-2</v>
      </c>
      <c r="M72">
        <f t="shared" si="37"/>
        <v>1.6799999999999999E-2</v>
      </c>
      <c r="N72">
        <f t="shared" si="37"/>
        <v>1.8600000000000002E-2</v>
      </c>
      <c r="O72">
        <f t="shared" si="37"/>
        <v>1.9199999999999998E-2</v>
      </c>
      <c r="P72">
        <f t="shared" si="37"/>
        <v>1.9400000000000001E-2</v>
      </c>
    </row>
    <row r="73" spans="1:16">
      <c r="A73">
        <f>1/4</f>
        <v>0.25</v>
      </c>
      <c r="B73">
        <f t="shared" ref="B73:P73" si="38">C8/100</f>
        <v>2.8999999999999998E-3</v>
      </c>
      <c r="C73">
        <f t="shared" si="38"/>
        <v>3.4000000000000002E-3</v>
      </c>
      <c r="D73">
        <f t="shared" si="38"/>
        <v>4.0999999999999995E-3</v>
      </c>
      <c r="E73">
        <f t="shared" si="38"/>
        <v>5.1000000000000004E-3</v>
      </c>
      <c r="F73">
        <f t="shared" si="38"/>
        <v>6.3E-3</v>
      </c>
      <c r="G73">
        <f t="shared" si="38"/>
        <v>7.7000000000000002E-3</v>
      </c>
      <c r="H73">
        <f t="shared" si="38"/>
        <v>9.1999999999999998E-3</v>
      </c>
      <c r="I73">
        <f t="shared" si="38"/>
        <v>1.06E-2</v>
      </c>
      <c r="J73">
        <f t="shared" si="38"/>
        <v>1.1899999999999999E-2</v>
      </c>
      <c r="K73">
        <f t="shared" si="38"/>
        <v>1.3100000000000001E-2</v>
      </c>
      <c r="L73">
        <f t="shared" si="38"/>
        <v>1.5100000000000001E-2</v>
      </c>
      <c r="M73">
        <f t="shared" si="38"/>
        <v>1.7100000000000001E-2</v>
      </c>
      <c r="N73">
        <f t="shared" si="38"/>
        <v>1.8799999999999997E-2</v>
      </c>
      <c r="O73">
        <f t="shared" si="38"/>
        <v>1.9400000000000001E-2</v>
      </c>
      <c r="P73">
        <f t="shared" si="38"/>
        <v>1.9599999999999999E-2</v>
      </c>
    </row>
    <row r="74" spans="1:16">
      <c r="A74">
        <v>0.5</v>
      </c>
      <c r="B74">
        <f t="shared" ref="B74:P74" si="39">C10/100</f>
        <v>3.0000000000000001E-3</v>
      </c>
      <c r="C74">
        <f t="shared" si="39"/>
        <v>3.5999999999999999E-3</v>
      </c>
      <c r="D74">
        <f t="shared" si="39"/>
        <v>4.4000000000000003E-3</v>
      </c>
      <c r="E74">
        <f t="shared" si="39"/>
        <v>5.5000000000000005E-3</v>
      </c>
      <c r="F74">
        <f t="shared" si="39"/>
        <v>6.8999999999999999E-3</v>
      </c>
      <c r="G74">
        <f t="shared" si="39"/>
        <v>8.3000000000000001E-3</v>
      </c>
      <c r="H74">
        <f t="shared" si="39"/>
        <v>9.7999999999999997E-3</v>
      </c>
      <c r="I74">
        <f t="shared" si="39"/>
        <v>1.1200000000000002E-2</v>
      </c>
      <c r="J74">
        <f t="shared" si="39"/>
        <v>1.2500000000000001E-2</v>
      </c>
      <c r="K74">
        <f t="shared" si="39"/>
        <v>1.37E-2</v>
      </c>
      <c r="L74">
        <f t="shared" si="39"/>
        <v>1.55E-2</v>
      </c>
      <c r="M74">
        <f t="shared" si="39"/>
        <v>1.7399999999999999E-2</v>
      </c>
      <c r="N74">
        <f t="shared" si="39"/>
        <v>1.9099999999999999E-2</v>
      </c>
      <c r="O74">
        <f t="shared" si="39"/>
        <v>1.9599999999999999E-2</v>
      </c>
      <c r="P74">
        <f t="shared" si="39"/>
        <v>1.9799999999999998E-2</v>
      </c>
    </row>
    <row r="75" spans="1:16">
      <c r="A75">
        <f>3/4</f>
        <v>0.75</v>
      </c>
      <c r="B75">
        <f t="shared" ref="B75:P75" si="40">C12/100</f>
        <v>3.2000000000000002E-3</v>
      </c>
      <c r="C75">
        <f t="shared" si="40"/>
        <v>3.9000000000000003E-3</v>
      </c>
      <c r="D75">
        <f t="shared" si="40"/>
        <v>4.7999999999999996E-3</v>
      </c>
      <c r="E75">
        <f t="shared" si="40"/>
        <v>6.0000000000000001E-3</v>
      </c>
      <c r="F75">
        <f t="shared" si="40"/>
        <v>7.4000000000000003E-3</v>
      </c>
      <c r="G75">
        <f t="shared" si="40"/>
        <v>8.8999999999999999E-3</v>
      </c>
      <c r="H75">
        <f t="shared" si="40"/>
        <v>1.04E-2</v>
      </c>
      <c r="I75">
        <f t="shared" si="40"/>
        <v>1.18E-2</v>
      </c>
      <c r="J75">
        <f t="shared" si="40"/>
        <v>1.3100000000000001E-2</v>
      </c>
      <c r="K75">
        <f t="shared" si="40"/>
        <v>1.4199999999999999E-2</v>
      </c>
      <c r="L75">
        <f t="shared" si="40"/>
        <v>1.6E-2</v>
      </c>
      <c r="M75">
        <f t="shared" si="40"/>
        <v>1.78E-2</v>
      </c>
      <c r="N75">
        <f t="shared" si="40"/>
        <v>1.9299999999999998E-2</v>
      </c>
      <c r="O75">
        <f t="shared" si="40"/>
        <v>1.9799999999999998E-2</v>
      </c>
      <c r="P75">
        <f t="shared" si="40"/>
        <v>1.9900000000000001E-2</v>
      </c>
    </row>
    <row r="76" spans="1:16">
      <c r="A76">
        <v>1</v>
      </c>
      <c r="B76">
        <f t="shared" ref="B76:P76" si="41">C14/100</f>
        <v>3.4000000000000002E-3</v>
      </c>
      <c r="C76">
        <f t="shared" si="41"/>
        <v>4.1999999999999997E-3</v>
      </c>
      <c r="D76">
        <f t="shared" si="41"/>
        <v>5.3E-3</v>
      </c>
      <c r="E76">
        <f t="shared" si="41"/>
        <v>6.5000000000000006E-3</v>
      </c>
      <c r="F76">
        <f t="shared" si="41"/>
        <v>8.0000000000000002E-3</v>
      </c>
      <c r="G76">
        <f t="shared" si="41"/>
        <v>9.5999999999999992E-3</v>
      </c>
      <c r="H76">
        <f t="shared" si="41"/>
        <v>1.11E-2</v>
      </c>
      <c r="I76">
        <f t="shared" si="41"/>
        <v>1.2500000000000001E-2</v>
      </c>
      <c r="J76">
        <f t="shared" si="41"/>
        <v>1.37E-2</v>
      </c>
      <c r="K76">
        <f t="shared" si="41"/>
        <v>1.4800000000000001E-2</v>
      </c>
      <c r="L76">
        <f t="shared" si="41"/>
        <v>1.6500000000000001E-2</v>
      </c>
      <c r="M76">
        <f t="shared" si="41"/>
        <v>1.8200000000000001E-2</v>
      </c>
      <c r="N76">
        <f t="shared" si="41"/>
        <v>1.9599999999999999E-2</v>
      </c>
      <c r="O76">
        <f t="shared" si="41"/>
        <v>0.02</v>
      </c>
      <c r="P76">
        <f t="shared" si="41"/>
        <v>2.0099999999999996E-2</v>
      </c>
    </row>
    <row r="77" spans="1:16">
      <c r="A77">
        <f>2</f>
        <v>2</v>
      </c>
      <c r="B77">
        <f t="shared" ref="B77:P77" si="42">C16/100</f>
        <v>4.8999999999999998E-3</v>
      </c>
      <c r="C77">
        <f t="shared" si="42"/>
        <v>6.1999999999999998E-3</v>
      </c>
      <c r="D77">
        <f t="shared" si="42"/>
        <v>7.6E-3</v>
      </c>
      <c r="E77">
        <f t="shared" si="42"/>
        <v>9.1999999999999998E-3</v>
      </c>
      <c r="F77">
        <f t="shared" si="42"/>
        <v>1.0800000000000001E-2</v>
      </c>
      <c r="G77">
        <f t="shared" si="42"/>
        <v>1.24E-2</v>
      </c>
      <c r="H77">
        <f t="shared" si="42"/>
        <v>1.38E-2</v>
      </c>
      <c r="I77">
        <f t="shared" si="42"/>
        <v>1.5100000000000001E-2</v>
      </c>
      <c r="J77">
        <f t="shared" si="42"/>
        <v>1.61E-2</v>
      </c>
      <c r="K77">
        <f t="shared" si="42"/>
        <v>1.7100000000000001E-2</v>
      </c>
      <c r="L77">
        <f t="shared" si="42"/>
        <v>1.84E-2</v>
      </c>
      <c r="M77">
        <f t="shared" si="42"/>
        <v>1.9699999999999999E-2</v>
      </c>
      <c r="N77">
        <f t="shared" si="42"/>
        <v>2.07E-2</v>
      </c>
      <c r="O77">
        <f t="shared" si="42"/>
        <v>2.0899999999999998E-2</v>
      </c>
      <c r="P77">
        <f t="shared" si="42"/>
        <v>2.0899999999999998E-2</v>
      </c>
    </row>
    <row r="78" spans="1:16">
      <c r="A78">
        <v>3</v>
      </c>
      <c r="B78">
        <f t="shared" ref="B78:P78" si="43">C18/100</f>
        <v>7.4000000000000003E-3</v>
      </c>
      <c r="C78">
        <f t="shared" si="43"/>
        <v>8.8999999999999999E-3</v>
      </c>
      <c r="D78">
        <f t="shared" si="43"/>
        <v>1.06E-2</v>
      </c>
      <c r="E78">
        <f t="shared" si="43"/>
        <v>1.23E-2</v>
      </c>
      <c r="F78">
        <f t="shared" si="43"/>
        <v>1.3899999999999999E-2</v>
      </c>
      <c r="G78">
        <f t="shared" si="43"/>
        <v>1.5300000000000001E-2</v>
      </c>
      <c r="H78">
        <f t="shared" si="43"/>
        <v>1.66E-2</v>
      </c>
      <c r="I78">
        <f t="shared" si="43"/>
        <v>1.7600000000000001E-2</v>
      </c>
      <c r="J78">
        <f t="shared" si="43"/>
        <v>1.8500000000000003E-2</v>
      </c>
      <c r="K78">
        <f t="shared" si="43"/>
        <v>1.9099999999999999E-2</v>
      </c>
      <c r="L78">
        <f t="shared" si="43"/>
        <v>2.0299999999999999E-2</v>
      </c>
      <c r="M78">
        <f t="shared" si="43"/>
        <v>2.1099999999999997E-2</v>
      </c>
      <c r="N78">
        <f t="shared" si="43"/>
        <v>2.1700000000000001E-2</v>
      </c>
      <c r="O78">
        <f t="shared" si="43"/>
        <v>2.1700000000000001E-2</v>
      </c>
      <c r="P78">
        <f t="shared" si="43"/>
        <v>2.1700000000000001E-2</v>
      </c>
    </row>
    <row r="79" spans="1:16">
      <c r="A79">
        <v>4</v>
      </c>
      <c r="B79">
        <f t="shared" ref="B79:P79" si="44">C20/100</f>
        <v>1.0500000000000001E-2</v>
      </c>
      <c r="C79">
        <f t="shared" si="44"/>
        <v>1.23E-2</v>
      </c>
      <c r="D79">
        <f t="shared" si="44"/>
        <v>1.3999999999999999E-2</v>
      </c>
      <c r="E79">
        <f t="shared" si="44"/>
        <v>1.5600000000000001E-2</v>
      </c>
      <c r="F79">
        <f t="shared" si="44"/>
        <v>1.7000000000000001E-2</v>
      </c>
      <c r="G79">
        <f t="shared" si="44"/>
        <v>1.8200000000000001E-2</v>
      </c>
      <c r="H79">
        <f t="shared" si="44"/>
        <v>1.9199999999999998E-2</v>
      </c>
      <c r="I79">
        <f t="shared" si="44"/>
        <v>0.02</v>
      </c>
      <c r="J79">
        <f t="shared" si="44"/>
        <v>2.06E-2</v>
      </c>
      <c r="K79">
        <f t="shared" si="44"/>
        <v>2.1099999999999997E-2</v>
      </c>
      <c r="L79">
        <f t="shared" si="44"/>
        <v>2.1899999999999999E-2</v>
      </c>
      <c r="M79">
        <f t="shared" si="44"/>
        <v>2.2499999999999999E-2</v>
      </c>
      <c r="N79">
        <f t="shared" si="44"/>
        <v>2.2700000000000001E-2</v>
      </c>
      <c r="O79">
        <f t="shared" si="44"/>
        <v>2.2400000000000003E-2</v>
      </c>
      <c r="P79">
        <f t="shared" si="44"/>
        <v>2.23E-2</v>
      </c>
    </row>
    <row r="80" spans="1:16">
      <c r="A80">
        <v>5</v>
      </c>
      <c r="B80">
        <f t="shared" ref="B80:P80" si="45">C22/100</f>
        <v>1.41E-2</v>
      </c>
      <c r="C80">
        <f t="shared" si="45"/>
        <v>1.5800000000000002E-2</v>
      </c>
      <c r="D80">
        <f t="shared" si="45"/>
        <v>1.7399999999999999E-2</v>
      </c>
      <c r="E80">
        <f t="shared" si="45"/>
        <v>1.8700000000000001E-2</v>
      </c>
      <c r="F80">
        <f t="shared" si="45"/>
        <v>1.9799999999999998E-2</v>
      </c>
      <c r="G80">
        <f t="shared" si="45"/>
        <v>2.07E-2</v>
      </c>
      <c r="H80">
        <f t="shared" si="45"/>
        <v>2.1499999999999998E-2</v>
      </c>
      <c r="I80">
        <f t="shared" si="45"/>
        <v>2.1899999999999999E-2</v>
      </c>
      <c r="J80">
        <f t="shared" si="45"/>
        <v>2.2400000000000003E-2</v>
      </c>
      <c r="K80">
        <f t="shared" si="45"/>
        <v>2.29E-2</v>
      </c>
      <c r="L80">
        <f t="shared" si="45"/>
        <v>2.3199999999999998E-2</v>
      </c>
      <c r="M80">
        <f t="shared" si="45"/>
        <v>2.3599999999999999E-2</v>
      </c>
      <c r="N80">
        <f t="shared" si="45"/>
        <v>2.3399999999999997E-2</v>
      </c>
      <c r="O80">
        <f t="shared" si="45"/>
        <v>2.3E-2</v>
      </c>
      <c r="P80">
        <f t="shared" si="45"/>
        <v>2.2799999999999997E-2</v>
      </c>
    </row>
    <row r="81" spans="1:16">
      <c r="A81">
        <v>6</v>
      </c>
      <c r="B81">
        <f t="shared" ref="B81:P81" si="46">C24/100</f>
        <v>1.7500000000000002E-2</v>
      </c>
      <c r="C81">
        <f t="shared" si="46"/>
        <v>1.9E-2</v>
      </c>
      <c r="D81">
        <f t="shared" si="46"/>
        <v>2.0299999999999999E-2</v>
      </c>
      <c r="E81">
        <f t="shared" si="46"/>
        <v>2.1299999999999999E-2</v>
      </c>
      <c r="F81">
        <f t="shared" si="46"/>
        <v>2.2200000000000001E-2</v>
      </c>
      <c r="G81">
        <f t="shared" si="46"/>
        <v>2.2799999999999997E-2</v>
      </c>
      <c r="H81">
        <f t="shared" si="46"/>
        <v>2.3199999999999998E-2</v>
      </c>
      <c r="I81">
        <f t="shared" si="46"/>
        <v>2.3599999999999999E-2</v>
      </c>
      <c r="J81">
        <f t="shared" si="46"/>
        <v>2.4E-2</v>
      </c>
      <c r="K81">
        <f t="shared" si="46"/>
        <v>2.4E-2</v>
      </c>
      <c r="L81">
        <f t="shared" si="46"/>
        <v>2.4199999999999999E-2</v>
      </c>
      <c r="M81">
        <f t="shared" si="46"/>
        <v>2.4300000000000002E-2</v>
      </c>
      <c r="N81">
        <f t="shared" si="46"/>
        <v>2.3900000000000001E-2</v>
      </c>
      <c r="O81">
        <f t="shared" si="46"/>
        <v>2.35E-2</v>
      </c>
      <c r="P81">
        <f t="shared" si="46"/>
        <v>2.3199999999999998E-2</v>
      </c>
    </row>
    <row r="82" spans="1:16">
      <c r="A82">
        <v>7</v>
      </c>
      <c r="B82">
        <f t="shared" ref="B82:P82" si="47">C26/100</f>
        <v>2.06E-2</v>
      </c>
      <c r="C82">
        <f t="shared" si="47"/>
        <v>2.1700000000000001E-2</v>
      </c>
      <c r="D82">
        <f t="shared" si="47"/>
        <v>2.2700000000000001E-2</v>
      </c>
      <c r="E82">
        <f t="shared" si="47"/>
        <v>2.3399999999999997E-2</v>
      </c>
      <c r="F82">
        <f t="shared" si="47"/>
        <v>2.3900000000000001E-2</v>
      </c>
      <c r="G82">
        <f t="shared" si="47"/>
        <v>2.4199999999999999E-2</v>
      </c>
      <c r="H82">
        <f t="shared" si="47"/>
        <v>2.4500000000000001E-2</v>
      </c>
      <c r="I82">
        <f t="shared" si="47"/>
        <v>2.4900000000000002E-2</v>
      </c>
      <c r="J82">
        <f t="shared" si="47"/>
        <v>2.4900000000000002E-2</v>
      </c>
      <c r="K82">
        <f t="shared" si="47"/>
        <v>2.4900000000000002E-2</v>
      </c>
      <c r="L82">
        <f t="shared" si="47"/>
        <v>2.5000000000000001E-2</v>
      </c>
      <c r="M82">
        <f t="shared" si="47"/>
        <v>2.4799999999999999E-2</v>
      </c>
      <c r="N82">
        <f t="shared" si="47"/>
        <v>2.4199999999999999E-2</v>
      </c>
      <c r="O82">
        <f t="shared" si="47"/>
        <v>2.3700000000000002E-2</v>
      </c>
      <c r="P82">
        <f t="shared" si="47"/>
        <v>2.35E-2</v>
      </c>
    </row>
    <row r="83" spans="1:16">
      <c r="A83">
        <v>8</v>
      </c>
      <c r="B83">
        <f t="shared" ref="B83:P83" si="48">C28/100</f>
        <v>2.29E-2</v>
      </c>
      <c r="C83">
        <f t="shared" si="48"/>
        <v>2.3700000000000002E-2</v>
      </c>
      <c r="D83">
        <f t="shared" si="48"/>
        <v>2.4399999999999998E-2</v>
      </c>
      <c r="E83">
        <f t="shared" si="48"/>
        <v>2.4799999999999999E-2</v>
      </c>
      <c r="F83">
        <f t="shared" si="48"/>
        <v>2.5000000000000001E-2</v>
      </c>
      <c r="G83">
        <f t="shared" si="48"/>
        <v>2.52E-2</v>
      </c>
      <c r="H83">
        <f t="shared" si="48"/>
        <v>2.5600000000000001E-2</v>
      </c>
      <c r="I83">
        <f t="shared" si="48"/>
        <v>2.5399999999999999E-2</v>
      </c>
      <c r="J83">
        <f t="shared" si="48"/>
        <v>2.5399999999999999E-2</v>
      </c>
      <c r="K83">
        <f t="shared" si="48"/>
        <v>2.5399999999999999E-2</v>
      </c>
      <c r="L83">
        <f t="shared" si="48"/>
        <v>2.5499999999999998E-2</v>
      </c>
      <c r="M83">
        <f t="shared" si="48"/>
        <v>2.5000000000000001E-2</v>
      </c>
      <c r="N83">
        <f t="shared" si="48"/>
        <v>2.4300000000000002E-2</v>
      </c>
      <c r="O83">
        <f t="shared" si="48"/>
        <v>2.3799999999999998E-2</v>
      </c>
      <c r="P83">
        <f t="shared" si="48"/>
        <v>2.3599999999999999E-2</v>
      </c>
    </row>
    <row r="84" spans="1:16">
      <c r="A84">
        <v>9</v>
      </c>
      <c r="B84">
        <f t="shared" ref="B84:P84" si="49">C30/100</f>
        <v>2.4500000000000001E-2</v>
      </c>
      <c r="C84">
        <f t="shared" si="49"/>
        <v>2.5099999999999997E-2</v>
      </c>
      <c r="D84">
        <f t="shared" si="49"/>
        <v>2.5499999999999998E-2</v>
      </c>
      <c r="E84">
        <f t="shared" si="49"/>
        <v>2.5499999999999998E-2</v>
      </c>
      <c r="F84">
        <f t="shared" si="49"/>
        <v>2.58E-2</v>
      </c>
      <c r="G84">
        <f t="shared" si="49"/>
        <v>2.6099999999999998E-2</v>
      </c>
      <c r="H84">
        <f t="shared" si="49"/>
        <v>2.5899999999999999E-2</v>
      </c>
      <c r="I84">
        <f t="shared" si="49"/>
        <v>2.5699999999999997E-2</v>
      </c>
      <c r="J84">
        <f t="shared" si="49"/>
        <v>2.5699999999999997E-2</v>
      </c>
      <c r="K84">
        <f t="shared" si="49"/>
        <v>2.5699999999999997E-2</v>
      </c>
      <c r="L84">
        <f t="shared" si="49"/>
        <v>2.5499999999999998E-2</v>
      </c>
      <c r="M84">
        <f t="shared" si="49"/>
        <v>2.5099999999999997E-2</v>
      </c>
      <c r="N84">
        <f t="shared" si="49"/>
        <v>2.4300000000000002E-2</v>
      </c>
      <c r="O84">
        <f t="shared" si="49"/>
        <v>2.3799999999999998E-2</v>
      </c>
      <c r="P84">
        <f t="shared" si="49"/>
        <v>2.35E-2</v>
      </c>
    </row>
    <row r="85" spans="1:16">
      <c r="A85">
        <v>10</v>
      </c>
      <c r="B85">
        <f t="shared" ref="B85:P85" si="50">C32/100</f>
        <v>2.58E-2</v>
      </c>
      <c r="C85">
        <f t="shared" si="50"/>
        <v>2.6000000000000002E-2</v>
      </c>
      <c r="D85">
        <f t="shared" si="50"/>
        <v>2.5899999999999999E-2</v>
      </c>
      <c r="E85">
        <f t="shared" si="50"/>
        <v>2.6099999999999998E-2</v>
      </c>
      <c r="F85">
        <f t="shared" si="50"/>
        <v>2.64E-2</v>
      </c>
      <c r="G85">
        <f t="shared" si="50"/>
        <v>2.6099999999999998E-2</v>
      </c>
      <c r="H85">
        <f t="shared" si="50"/>
        <v>2.5899999999999999E-2</v>
      </c>
      <c r="I85">
        <f t="shared" si="50"/>
        <v>2.5899999999999999E-2</v>
      </c>
      <c r="J85">
        <f t="shared" si="50"/>
        <v>2.5899999999999999E-2</v>
      </c>
      <c r="K85">
        <f t="shared" si="50"/>
        <v>2.5899999999999999E-2</v>
      </c>
      <c r="L85">
        <f t="shared" si="50"/>
        <v>2.5399999999999999E-2</v>
      </c>
      <c r="M85">
        <f t="shared" si="50"/>
        <v>2.5000000000000001E-2</v>
      </c>
      <c r="N85">
        <f t="shared" si="50"/>
        <v>2.41E-2</v>
      </c>
      <c r="O85">
        <f t="shared" si="50"/>
        <v>2.3700000000000002E-2</v>
      </c>
      <c r="P85">
        <f t="shared" si="50"/>
        <v>2.35E-2</v>
      </c>
    </row>
    <row r="86" spans="1:16">
      <c r="A86">
        <v>12</v>
      </c>
      <c r="B86">
        <f t="shared" ref="B86:P86" si="51">C34/100</f>
        <v>2.5600000000000001E-2</v>
      </c>
      <c r="C86">
        <f t="shared" si="51"/>
        <v>2.6200000000000001E-2</v>
      </c>
      <c r="D86">
        <f t="shared" si="51"/>
        <v>2.6699999999999998E-2</v>
      </c>
      <c r="E86">
        <f t="shared" si="51"/>
        <v>2.6099999999999998E-2</v>
      </c>
      <c r="F86">
        <f t="shared" si="51"/>
        <v>2.5899999999999999E-2</v>
      </c>
      <c r="G86">
        <f t="shared" si="51"/>
        <v>2.58E-2</v>
      </c>
      <c r="H86">
        <f t="shared" si="51"/>
        <v>2.58E-2</v>
      </c>
      <c r="I86">
        <f t="shared" si="51"/>
        <v>2.5899999999999999E-2</v>
      </c>
      <c r="J86">
        <f t="shared" si="51"/>
        <v>2.5600000000000001E-2</v>
      </c>
      <c r="K86">
        <f t="shared" si="51"/>
        <v>2.53E-2</v>
      </c>
      <c r="L86">
        <f t="shared" si="51"/>
        <v>2.4900000000000002E-2</v>
      </c>
      <c r="M86">
        <f t="shared" si="51"/>
        <v>2.4300000000000002E-2</v>
      </c>
      <c r="N86">
        <f t="shared" si="51"/>
        <v>2.3599999999999999E-2</v>
      </c>
      <c r="O86">
        <f t="shared" si="51"/>
        <v>2.3300000000000001E-2</v>
      </c>
      <c r="P86">
        <f t="shared" si="51"/>
        <v>2.3099999999999999E-2</v>
      </c>
    </row>
    <row r="87" spans="1:16">
      <c r="A87">
        <v>15</v>
      </c>
      <c r="B87">
        <f t="shared" ref="B87:P87" si="52">C36/100</f>
        <v>2.4399999999999998E-2</v>
      </c>
      <c r="C87">
        <f t="shared" si="52"/>
        <v>2.4700000000000003E-2</v>
      </c>
      <c r="D87">
        <f t="shared" si="52"/>
        <v>2.4900000000000002E-2</v>
      </c>
      <c r="E87">
        <f t="shared" si="52"/>
        <v>2.52E-2</v>
      </c>
      <c r="F87">
        <f t="shared" si="52"/>
        <v>2.5399999999999999E-2</v>
      </c>
      <c r="G87">
        <f t="shared" si="52"/>
        <v>2.4900000000000002E-2</v>
      </c>
      <c r="H87">
        <f t="shared" si="52"/>
        <v>2.46E-2</v>
      </c>
      <c r="I87">
        <f t="shared" si="52"/>
        <v>2.4399999999999998E-2</v>
      </c>
      <c r="J87">
        <f t="shared" si="52"/>
        <v>2.4300000000000002E-2</v>
      </c>
      <c r="K87">
        <f t="shared" si="52"/>
        <v>2.41E-2</v>
      </c>
      <c r="L87">
        <f t="shared" si="52"/>
        <v>2.3599999999999999E-2</v>
      </c>
      <c r="M87">
        <f t="shared" si="52"/>
        <v>2.3099999999999999E-2</v>
      </c>
      <c r="N87">
        <f t="shared" si="52"/>
        <v>2.2799999999999997E-2</v>
      </c>
      <c r="O87">
        <f t="shared" si="52"/>
        <v>2.2599999999999999E-2</v>
      </c>
      <c r="P87">
        <f t="shared" si="52"/>
        <v>2.2400000000000003E-2</v>
      </c>
    </row>
    <row r="88" spans="1:16">
      <c r="A88">
        <v>20</v>
      </c>
      <c r="B88">
        <f t="shared" ref="B88:P88" si="53">C38/100</f>
        <v>2.2599999999999999E-2</v>
      </c>
      <c r="C88">
        <f t="shared" si="53"/>
        <v>2.2599999999999999E-2</v>
      </c>
      <c r="D88">
        <f t="shared" si="53"/>
        <v>2.2700000000000001E-2</v>
      </c>
      <c r="E88">
        <f t="shared" si="53"/>
        <v>2.2700000000000001E-2</v>
      </c>
      <c r="F88">
        <f t="shared" si="53"/>
        <v>2.2700000000000001E-2</v>
      </c>
      <c r="G88">
        <f t="shared" si="53"/>
        <v>2.2499999999999999E-2</v>
      </c>
      <c r="H88">
        <f t="shared" si="53"/>
        <v>2.2200000000000001E-2</v>
      </c>
      <c r="I88">
        <f t="shared" si="53"/>
        <v>2.2099999999999998E-2</v>
      </c>
      <c r="J88">
        <f t="shared" si="53"/>
        <v>2.1899999999999999E-2</v>
      </c>
      <c r="K88">
        <f t="shared" si="53"/>
        <v>2.18E-2</v>
      </c>
      <c r="L88">
        <f t="shared" si="53"/>
        <v>2.18E-2</v>
      </c>
      <c r="M88">
        <f t="shared" si="53"/>
        <v>2.1700000000000001E-2</v>
      </c>
      <c r="N88">
        <f t="shared" si="53"/>
        <v>2.1700000000000001E-2</v>
      </c>
      <c r="O88">
        <f t="shared" si="53"/>
        <v>2.1600000000000001E-2</v>
      </c>
      <c r="P88">
        <f t="shared" si="53"/>
        <v>2.1400000000000002E-2</v>
      </c>
    </row>
    <row r="89" spans="1:16">
      <c r="A89">
        <v>25</v>
      </c>
      <c r="B89">
        <f t="shared" ref="B89:P89" si="54">C40/100</f>
        <v>2.0899999999999998E-2</v>
      </c>
      <c r="C89">
        <f t="shared" si="54"/>
        <v>2.0899999999999998E-2</v>
      </c>
      <c r="D89">
        <f t="shared" si="54"/>
        <v>2.0799999999999999E-2</v>
      </c>
      <c r="E89">
        <f t="shared" si="54"/>
        <v>2.0799999999999999E-2</v>
      </c>
      <c r="F89">
        <f t="shared" si="54"/>
        <v>2.0799999999999999E-2</v>
      </c>
      <c r="G89">
        <f t="shared" si="54"/>
        <v>2.0899999999999998E-2</v>
      </c>
      <c r="H89">
        <f t="shared" si="54"/>
        <v>2.1000000000000001E-2</v>
      </c>
      <c r="I89">
        <f t="shared" si="54"/>
        <v>2.1000000000000001E-2</v>
      </c>
      <c r="J89">
        <f t="shared" si="54"/>
        <v>2.1000000000000001E-2</v>
      </c>
      <c r="K89">
        <f t="shared" si="54"/>
        <v>2.1099999999999997E-2</v>
      </c>
      <c r="L89">
        <f t="shared" si="54"/>
        <v>2.12E-2</v>
      </c>
      <c r="M89">
        <f t="shared" si="54"/>
        <v>2.1299999999999999E-2</v>
      </c>
      <c r="N89">
        <f t="shared" si="54"/>
        <v>2.1299999999999999E-2</v>
      </c>
      <c r="O89">
        <f t="shared" si="54"/>
        <v>2.1000000000000001E-2</v>
      </c>
      <c r="P89">
        <f t="shared" si="54"/>
        <v>1.9900000000000001E-2</v>
      </c>
    </row>
    <row r="90" spans="1:16">
      <c r="A90">
        <v>30</v>
      </c>
      <c r="B90">
        <f t="shared" ref="B90:P90" si="55">C42/100</f>
        <v>2.1400000000000002E-2</v>
      </c>
      <c r="C90">
        <f t="shared" si="55"/>
        <v>2.1400000000000002E-2</v>
      </c>
      <c r="D90">
        <f t="shared" si="55"/>
        <v>2.1400000000000002E-2</v>
      </c>
      <c r="E90">
        <f t="shared" si="55"/>
        <v>2.1400000000000002E-2</v>
      </c>
      <c r="F90">
        <f t="shared" si="55"/>
        <v>2.1299999999999999E-2</v>
      </c>
      <c r="G90">
        <f t="shared" si="55"/>
        <v>2.1400000000000002E-2</v>
      </c>
      <c r="H90">
        <f t="shared" si="55"/>
        <v>2.1499999999999998E-2</v>
      </c>
      <c r="I90">
        <f t="shared" si="55"/>
        <v>2.1600000000000001E-2</v>
      </c>
      <c r="J90">
        <f t="shared" si="55"/>
        <v>2.1600000000000001E-2</v>
      </c>
      <c r="K90">
        <f t="shared" si="55"/>
        <v>2.1600000000000001E-2</v>
      </c>
      <c r="L90">
        <f t="shared" si="55"/>
        <v>2.1600000000000001E-2</v>
      </c>
      <c r="M90">
        <f t="shared" si="55"/>
        <v>2.1499999999999998E-2</v>
      </c>
      <c r="N90">
        <f t="shared" si="55"/>
        <v>2.1099999999999997E-2</v>
      </c>
      <c r="O90">
        <f t="shared" si="55"/>
        <v>1.9699999999999999E-2</v>
      </c>
      <c r="P90">
        <f t="shared" si="55"/>
        <v>1.8600000000000002E-2</v>
      </c>
    </row>
    <row r="96" spans="1:16">
      <c r="A96" t="s">
        <v>27</v>
      </c>
      <c r="C96" t="s">
        <v>29</v>
      </c>
    </row>
    <row r="97" spans="1:16">
      <c r="A97" s="1" t="s">
        <v>0</v>
      </c>
      <c r="B97">
        <v>1</v>
      </c>
      <c r="C97">
        <v>2</v>
      </c>
      <c r="D97">
        <v>3</v>
      </c>
      <c r="E97">
        <v>4</v>
      </c>
      <c r="F97">
        <v>5</v>
      </c>
      <c r="G97">
        <v>6</v>
      </c>
      <c r="H97">
        <v>7</v>
      </c>
      <c r="I97">
        <v>8</v>
      </c>
      <c r="J97">
        <v>9</v>
      </c>
      <c r="K97">
        <v>10</v>
      </c>
      <c r="L97">
        <v>12</v>
      </c>
      <c r="M97">
        <v>15</v>
      </c>
      <c r="N97">
        <v>20</v>
      </c>
      <c r="O97">
        <v>25</v>
      </c>
      <c r="P97">
        <v>30</v>
      </c>
    </row>
    <row r="98" spans="1:16">
      <c r="A98">
        <f>1/12</f>
        <v>8.3333333333333329E-2</v>
      </c>
      <c r="B98">
        <f>$A49*(B49^2)*(B72^2)</f>
        <v>1.9081956403333333E-7</v>
      </c>
      <c r="C98">
        <f t="shared" ref="C98:P98" si="56">$A49*(C49^2)*(C72^2)</f>
        <v>2.093415168E-7</v>
      </c>
      <c r="D98">
        <f t="shared" si="56"/>
        <v>3.3382017763333343E-7</v>
      </c>
      <c r="E98">
        <f t="shared" si="56"/>
        <v>5.4361038719999989E-7</v>
      </c>
      <c r="F98">
        <f t="shared" si="56"/>
        <v>7.855106700000002E-7</v>
      </c>
      <c r="G98">
        <f t="shared" si="56"/>
        <v>1.0605939666749999E-6</v>
      </c>
      <c r="H98">
        <f t="shared" si="56"/>
        <v>1.4055933701333332E-6</v>
      </c>
      <c r="I98">
        <f t="shared" si="56"/>
        <v>1.7416576908E-6</v>
      </c>
      <c r="J98">
        <f t="shared" si="56"/>
        <v>2.0643766533333333E-6</v>
      </c>
      <c r="K98">
        <f t="shared" si="56"/>
        <v>2.3596861408333332E-6</v>
      </c>
      <c r="L98">
        <f t="shared" si="56"/>
        <v>2.6594644686749993E-6</v>
      </c>
      <c r="M98">
        <f t="shared" si="56"/>
        <v>2.6190858287999992E-6</v>
      </c>
      <c r="N98">
        <f t="shared" si="56"/>
        <v>2.8916169987000016E-6</v>
      </c>
      <c r="O98">
        <f t="shared" si="56"/>
        <v>3.1182630911999992E-6</v>
      </c>
      <c r="P98">
        <f t="shared" si="56"/>
        <v>3.3844878675000003E-6</v>
      </c>
    </row>
    <row r="99" spans="1:16">
      <c r="A99">
        <f>1/4</f>
        <v>0.25</v>
      </c>
      <c r="B99">
        <f t="shared" ref="B99:P116" si="57">$A50*(B50^2)*(B73^2)</f>
        <v>5.2625593922499989E-7</v>
      </c>
      <c r="C99">
        <f t="shared" si="57"/>
        <v>6.6308449000000001E-7</v>
      </c>
      <c r="D99">
        <f t="shared" si="57"/>
        <v>1.1172067204000002E-6</v>
      </c>
      <c r="E99">
        <f t="shared" si="57"/>
        <v>1.7407371969000002E-6</v>
      </c>
      <c r="F99">
        <f t="shared" si="57"/>
        <v>2.5727518404000003E-6</v>
      </c>
      <c r="G99">
        <f t="shared" si="57"/>
        <v>3.3471434304000006E-6</v>
      </c>
      <c r="H99">
        <f t="shared" si="57"/>
        <v>4.2906151044000009E-6</v>
      </c>
      <c r="I99">
        <f t="shared" si="57"/>
        <v>5.2592707561000007E-6</v>
      </c>
      <c r="J99">
        <f t="shared" si="57"/>
        <v>6.0913201635999975E-6</v>
      </c>
      <c r="K99">
        <f t="shared" si="57"/>
        <v>6.8541072612250009E-6</v>
      </c>
      <c r="L99">
        <f t="shared" si="57"/>
        <v>7.6483497692250004E-6</v>
      </c>
      <c r="M99">
        <f t="shared" si="57"/>
        <v>7.3784758322250001E-6</v>
      </c>
      <c r="N99">
        <f t="shared" si="57"/>
        <v>7.7522151183999978E-6</v>
      </c>
      <c r="O99">
        <f t="shared" si="57"/>
        <v>7.9731122688999987E-6</v>
      </c>
      <c r="P99">
        <f t="shared" si="57"/>
        <v>8.3805618063999999E-6</v>
      </c>
    </row>
    <row r="100" spans="1:16">
      <c r="A100">
        <v>0.5</v>
      </c>
      <c r="B100">
        <f t="shared" si="57"/>
        <v>1.0848645E-6</v>
      </c>
      <c r="C100">
        <f t="shared" si="57"/>
        <v>1.5419084832000001E-6</v>
      </c>
      <c r="D100">
        <f t="shared" si="57"/>
        <v>2.6054052992000005E-6</v>
      </c>
      <c r="E100">
        <f t="shared" si="57"/>
        <v>4.0021863199999999E-6</v>
      </c>
      <c r="F100">
        <f t="shared" si="57"/>
        <v>5.8776832660499984E-6</v>
      </c>
      <c r="G100">
        <f t="shared" si="57"/>
        <v>7.4992124641999993E-6</v>
      </c>
      <c r="H100">
        <f t="shared" si="57"/>
        <v>9.1871268551999999E-6</v>
      </c>
      <c r="I100">
        <f t="shared" si="57"/>
        <v>1.0969178572800005E-5</v>
      </c>
      <c r="J100">
        <f t="shared" si="57"/>
        <v>1.2631594531250003E-5</v>
      </c>
      <c r="K100">
        <f t="shared" si="57"/>
        <v>1.4040548352799999E-5</v>
      </c>
      <c r="L100">
        <f t="shared" si="57"/>
        <v>1.5113177311250002E-5</v>
      </c>
      <c r="M100">
        <f t="shared" si="57"/>
        <v>1.4463270577799997E-5</v>
      </c>
      <c r="N100">
        <f t="shared" si="57"/>
        <v>1.5224106820049998E-5</v>
      </c>
      <c r="O100">
        <f t="shared" si="57"/>
        <v>1.54487946368E-5</v>
      </c>
      <c r="P100">
        <f t="shared" si="57"/>
        <v>1.6157224888199999E-5</v>
      </c>
    </row>
    <row r="101" spans="1:16">
      <c r="A101">
        <f>3/4</f>
        <v>0.75</v>
      </c>
      <c r="B101">
        <f>$A52*(B52^2)*(B75^2)</f>
        <v>2.0798681087999999E-6</v>
      </c>
      <c r="C101">
        <f t="shared" si="57"/>
        <v>3.2651116875000006E-6</v>
      </c>
      <c r="D101">
        <f t="shared" si="57"/>
        <v>5.2901145791999989E-6</v>
      </c>
      <c r="E101">
        <f t="shared" si="57"/>
        <v>7.8644544299999974E-6</v>
      </c>
      <c r="F101">
        <f t="shared" si="57"/>
        <v>1.0897021370700002E-5</v>
      </c>
      <c r="G101">
        <f t="shared" si="57"/>
        <v>1.3670383986675001E-5</v>
      </c>
      <c r="H101">
        <f t="shared" si="57"/>
        <v>1.631747052E-5</v>
      </c>
      <c r="I101">
        <f t="shared" si="57"/>
        <v>1.9031700192299999E-5</v>
      </c>
      <c r="J101">
        <f t="shared" si="57"/>
        <v>2.1561915711675004E-5</v>
      </c>
      <c r="K101">
        <f t="shared" si="57"/>
        <v>2.3428696780799996E-5</v>
      </c>
      <c r="L101">
        <f t="shared" si="57"/>
        <v>2.5160448000000002E-5</v>
      </c>
      <c r="M101">
        <f t="shared" si="57"/>
        <v>2.3999879089200003E-5</v>
      </c>
      <c r="N101">
        <f t="shared" si="57"/>
        <v>2.4592969662074997E-5</v>
      </c>
      <c r="O101">
        <f t="shared" si="57"/>
        <v>2.4830351290799988E-5</v>
      </c>
      <c r="P101">
        <f t="shared" si="57"/>
        <v>2.5376109924675003E-5</v>
      </c>
    </row>
    <row r="102" spans="1:16">
      <c r="A102">
        <v>1</v>
      </c>
      <c r="B102">
        <f t="shared" si="57"/>
        <v>3.5147250576000002E-6</v>
      </c>
      <c r="C102">
        <f t="shared" si="57"/>
        <v>6.0306589475999991E-6</v>
      </c>
      <c r="D102">
        <f t="shared" si="57"/>
        <v>9.7681876681000004E-6</v>
      </c>
      <c r="E102">
        <f t="shared" si="57"/>
        <v>1.3554178560000005E-5</v>
      </c>
      <c r="F102">
        <f t="shared" si="57"/>
        <v>1.8270495359999997E-5</v>
      </c>
      <c r="G102">
        <f t="shared" si="57"/>
        <v>2.24357584896E-5</v>
      </c>
      <c r="H102">
        <f t="shared" si="57"/>
        <v>2.6105253048900002E-5</v>
      </c>
      <c r="I102">
        <f t="shared" si="57"/>
        <v>2.9702500000000002E-5</v>
      </c>
      <c r="J102">
        <f t="shared" si="57"/>
        <v>3.2621574940900002E-5</v>
      </c>
      <c r="K102">
        <f t="shared" si="57"/>
        <v>3.5169169729600005E-5</v>
      </c>
      <c r="L102">
        <f t="shared" si="57"/>
        <v>3.7230742889999992E-5</v>
      </c>
      <c r="M102">
        <f t="shared" si="57"/>
        <v>3.5440828368399997E-5</v>
      </c>
      <c r="N102">
        <f t="shared" si="57"/>
        <v>3.5759921601600008E-5</v>
      </c>
      <c r="O102">
        <f t="shared" si="57"/>
        <v>3.5545443999999994E-5</v>
      </c>
      <c r="P102">
        <f t="shared" si="57"/>
        <v>3.5853629084099981E-5</v>
      </c>
    </row>
    <row r="103" spans="1:16">
      <c r="A103">
        <f>2</f>
        <v>2</v>
      </c>
      <c r="B103">
        <f t="shared" si="57"/>
        <v>2.1318752233800001E-5</v>
      </c>
      <c r="C103">
        <f t="shared" si="57"/>
        <v>3.5173903884799999E-5</v>
      </c>
      <c r="D103">
        <f t="shared" si="57"/>
        <v>4.5269515520000003E-5</v>
      </c>
      <c r="E103">
        <f t="shared" si="57"/>
        <v>5.43448995968E-5</v>
      </c>
      <c r="F103">
        <f t="shared" si="57"/>
        <v>6.3127443571200001E-5</v>
      </c>
      <c r="G103">
        <f t="shared" si="57"/>
        <v>7.0528238979199995E-5</v>
      </c>
      <c r="H103">
        <f t="shared" si="57"/>
        <v>7.6307693068800009E-5</v>
      </c>
      <c r="I103">
        <f t="shared" si="57"/>
        <v>8.1672379404800017E-5</v>
      </c>
      <c r="J103">
        <f t="shared" si="57"/>
        <v>8.6213681472800007E-5</v>
      </c>
      <c r="K103">
        <f t="shared" si="57"/>
        <v>9.092342160179999E-5</v>
      </c>
      <c r="L103">
        <f t="shared" si="57"/>
        <v>9.2047482892799987E-5</v>
      </c>
      <c r="M103">
        <f t="shared" si="57"/>
        <v>8.565677207119999E-5</v>
      </c>
      <c r="N103">
        <f t="shared" si="57"/>
        <v>8.5412188600199993E-5</v>
      </c>
      <c r="O103">
        <f t="shared" si="57"/>
        <v>8.3738364019199986E-5</v>
      </c>
      <c r="P103">
        <f t="shared" si="57"/>
        <v>8.2606231124999986E-5</v>
      </c>
    </row>
    <row r="104" spans="1:16">
      <c r="A104">
        <v>3</v>
      </c>
      <c r="B104">
        <f t="shared" si="57"/>
        <v>8.3725829338800002E-5</v>
      </c>
      <c r="C104">
        <f t="shared" si="57"/>
        <v>1.035429975363E-4</v>
      </c>
      <c r="D104">
        <f t="shared" si="57"/>
        <v>1.162660684332E-4</v>
      </c>
      <c r="E104">
        <f t="shared" si="57"/>
        <v>1.261007036667E-4</v>
      </c>
      <c r="F104">
        <f t="shared" si="57"/>
        <v>1.3471784224829998E-4</v>
      </c>
      <c r="G104">
        <f t="shared" si="57"/>
        <v>1.4006884704119999E-4</v>
      </c>
      <c r="H104">
        <f t="shared" si="57"/>
        <v>1.4575691914679999E-4</v>
      </c>
      <c r="I104">
        <f t="shared" si="57"/>
        <v>1.489823182848E-4</v>
      </c>
      <c r="J104">
        <f t="shared" si="57"/>
        <v>1.5266474688000004E-4</v>
      </c>
      <c r="K104">
        <f t="shared" si="57"/>
        <v>1.5300263826030001E-4</v>
      </c>
      <c r="L104">
        <f t="shared" si="57"/>
        <v>1.5509951660279997E-4</v>
      </c>
      <c r="M104">
        <f t="shared" si="57"/>
        <v>1.4116274805629997E-4</v>
      </c>
      <c r="N104">
        <f t="shared" si="57"/>
        <v>1.3751494848000001E-4</v>
      </c>
      <c r="O104">
        <f t="shared" si="57"/>
        <v>1.3227676812E-4</v>
      </c>
      <c r="P104">
        <f t="shared" si="57"/>
        <v>1.295246609328E-4</v>
      </c>
    </row>
    <row r="105" spans="1:16">
      <c r="A105">
        <v>4</v>
      </c>
      <c r="B105">
        <f t="shared" si="57"/>
        <v>1.7911271889000001E-4</v>
      </c>
      <c r="C105">
        <f t="shared" si="57"/>
        <v>1.9304545904639996E-4</v>
      </c>
      <c r="D105">
        <f t="shared" si="57"/>
        <v>1.9851682815999995E-4</v>
      </c>
      <c r="E105">
        <f t="shared" si="57"/>
        <v>2.0678670080640003E-4</v>
      </c>
      <c r="F105">
        <f t="shared" si="57"/>
        <v>2.1384382756000001E-4</v>
      </c>
      <c r="G105">
        <f t="shared" si="57"/>
        <v>2.191548630544E-4</v>
      </c>
      <c r="H105">
        <f t="shared" si="57"/>
        <v>2.2164301578240004E-4</v>
      </c>
      <c r="I105">
        <f t="shared" si="57"/>
        <v>2.2332313600000002E-4</v>
      </c>
      <c r="J105">
        <f t="shared" si="57"/>
        <v>2.2453344211359998E-4</v>
      </c>
      <c r="K105">
        <f t="shared" si="57"/>
        <v>2.2518963994239995E-4</v>
      </c>
      <c r="L105">
        <f t="shared" si="57"/>
        <v>2.2190213710439994E-4</v>
      </c>
      <c r="M105">
        <f t="shared" si="57"/>
        <v>2.0387556225000004E-4</v>
      </c>
      <c r="N105">
        <f t="shared" si="57"/>
        <v>1.9552988224000003E-4</v>
      </c>
      <c r="O105">
        <f t="shared" si="57"/>
        <v>1.8377814999040012E-4</v>
      </c>
      <c r="P105">
        <f t="shared" si="57"/>
        <v>1.7546181444000003E-4</v>
      </c>
    </row>
    <row r="106" spans="1:16">
      <c r="A106">
        <v>5</v>
      </c>
      <c r="B106">
        <f t="shared" si="57"/>
        <v>2.6569863044999996E-4</v>
      </c>
      <c r="C106">
        <f t="shared" si="57"/>
        <v>2.8221833205E-4</v>
      </c>
      <c r="D106">
        <f t="shared" si="57"/>
        <v>2.8408309891200003E-4</v>
      </c>
      <c r="E106">
        <f t="shared" si="57"/>
        <v>2.8735628880200001E-4</v>
      </c>
      <c r="F106">
        <f t="shared" si="57"/>
        <v>2.9327383324799993E-4</v>
      </c>
      <c r="G106">
        <f t="shared" si="57"/>
        <v>2.9552518240200001E-4</v>
      </c>
      <c r="H106">
        <f t="shared" si="57"/>
        <v>3.0003743801249998E-4</v>
      </c>
      <c r="I106">
        <f t="shared" si="57"/>
        <v>2.9712798720000008E-4</v>
      </c>
      <c r="J106">
        <f t="shared" si="57"/>
        <v>2.9826380595200007E-4</v>
      </c>
      <c r="K106">
        <f t="shared" si="57"/>
        <v>3.0186216900450003E-4</v>
      </c>
      <c r="L106">
        <f t="shared" si="57"/>
        <v>2.8864801999999999E-4</v>
      </c>
      <c r="M106">
        <f t="shared" si="57"/>
        <v>2.6658433692800003E-4</v>
      </c>
      <c r="N106">
        <f t="shared" si="57"/>
        <v>2.52018760968E-4</v>
      </c>
      <c r="O106">
        <f t="shared" si="57"/>
        <v>2.3441389205000002E-4</v>
      </c>
      <c r="P106">
        <f t="shared" si="57"/>
        <v>2.1889433116799997E-4</v>
      </c>
    </row>
    <row r="107" spans="1:16">
      <c r="A107">
        <v>6</v>
      </c>
      <c r="B107">
        <f t="shared" si="57"/>
        <v>3.6698478337500001E-4</v>
      </c>
      <c r="C107">
        <f t="shared" si="57"/>
        <v>3.7628237183999995E-4</v>
      </c>
      <c r="D107">
        <f t="shared" si="57"/>
        <v>3.7069269135359991E-4</v>
      </c>
      <c r="E107">
        <f t="shared" si="57"/>
        <v>3.6804228384060007E-4</v>
      </c>
      <c r="F107">
        <f t="shared" si="57"/>
        <v>3.7182163976640006E-4</v>
      </c>
      <c r="G107">
        <f t="shared" si="57"/>
        <v>3.6930933858239987E-4</v>
      </c>
      <c r="H107">
        <f t="shared" si="57"/>
        <v>3.6698196791039994E-4</v>
      </c>
      <c r="I107">
        <f t="shared" si="57"/>
        <v>3.6900813359039996E-4</v>
      </c>
      <c r="J107">
        <f t="shared" si="57"/>
        <v>3.7022500223999997E-4</v>
      </c>
      <c r="K107">
        <f t="shared" si="57"/>
        <v>3.6459085823999993E-4</v>
      </c>
      <c r="L107">
        <f t="shared" si="57"/>
        <v>3.4843943721839991E-4</v>
      </c>
      <c r="M107">
        <f t="shared" si="57"/>
        <v>3.1971547247040008E-4</v>
      </c>
      <c r="N107">
        <f t="shared" si="57"/>
        <v>2.9644020252060009E-4</v>
      </c>
      <c r="O107">
        <f t="shared" si="57"/>
        <v>2.7426266941500005E-4</v>
      </c>
      <c r="P107">
        <f t="shared" si="57"/>
        <v>2.5192373794560001E-4</v>
      </c>
    </row>
    <row r="108" spans="1:16">
      <c r="A108">
        <v>7</v>
      </c>
      <c r="B108">
        <f t="shared" si="57"/>
        <v>4.2376633309080007E-4</v>
      </c>
      <c r="C108">
        <f t="shared" si="57"/>
        <v>4.2980601059829993E-4</v>
      </c>
      <c r="D108">
        <f t="shared" si="57"/>
        <v>4.270897018143E-4</v>
      </c>
      <c r="E108">
        <f t="shared" si="57"/>
        <v>4.2375326174999995E-4</v>
      </c>
      <c r="F108">
        <f t="shared" si="57"/>
        <v>4.2103989061750011E-4</v>
      </c>
      <c r="G108">
        <f t="shared" si="57"/>
        <v>4.1769044190720009E-4</v>
      </c>
      <c r="H108">
        <f t="shared" si="57"/>
        <v>4.1771315265750009E-4</v>
      </c>
      <c r="I108">
        <f t="shared" si="57"/>
        <v>4.2736860253079996E-4</v>
      </c>
      <c r="J108">
        <f t="shared" si="57"/>
        <v>4.2329262579030008E-4</v>
      </c>
      <c r="K108">
        <f t="shared" si="57"/>
        <v>4.205861581382999E-4</v>
      </c>
      <c r="L108">
        <f t="shared" si="57"/>
        <v>4.0219480000000009E-4</v>
      </c>
      <c r="M108">
        <f t="shared" si="57"/>
        <v>3.6758842283520003E-4</v>
      </c>
      <c r="N108">
        <f t="shared" si="57"/>
        <v>3.3414963967000008E-4</v>
      </c>
      <c r="O108">
        <f t="shared" si="57"/>
        <v>3.0408619878630004E-4</v>
      </c>
      <c r="P108">
        <f t="shared" si="57"/>
        <v>2.7931373567999994E-4</v>
      </c>
    </row>
    <row r="109" spans="1:16">
      <c r="A109">
        <v>8</v>
      </c>
      <c r="B109">
        <f t="shared" si="57"/>
        <v>5.1686269128000013E-4</v>
      </c>
      <c r="C109">
        <f t="shared" si="57"/>
        <v>5.1731419830480004E-4</v>
      </c>
      <c r="D109">
        <f t="shared" si="57"/>
        <v>5.0617983487999992E-4</v>
      </c>
      <c r="E109">
        <f t="shared" si="57"/>
        <v>4.9850167956479988E-4</v>
      </c>
      <c r="F109">
        <f t="shared" si="57"/>
        <v>4.9266605000000013E-4</v>
      </c>
      <c r="G109">
        <f t="shared" si="57"/>
        <v>4.8727426970879989E-4</v>
      </c>
      <c r="H109">
        <f t="shared" si="57"/>
        <v>4.9220660756480003E-4</v>
      </c>
      <c r="I109">
        <f t="shared" si="57"/>
        <v>4.8581187998720008E-4</v>
      </c>
      <c r="J109">
        <f t="shared" si="57"/>
        <v>4.8454592122879997E-4</v>
      </c>
      <c r="K109">
        <f t="shared" si="57"/>
        <v>4.8328161407999997E-4</v>
      </c>
      <c r="L109">
        <f t="shared" si="57"/>
        <v>4.6257869447999998E-4</v>
      </c>
      <c r="M109">
        <f t="shared" si="57"/>
        <v>4.1616125000000021E-4</v>
      </c>
      <c r="N109">
        <f t="shared" si="57"/>
        <v>3.7194426573119999E-4</v>
      </c>
      <c r="O109">
        <f t="shared" si="57"/>
        <v>3.359999275807999E-4</v>
      </c>
      <c r="P109">
        <f t="shared" si="57"/>
        <v>3.0702419999999999E-4</v>
      </c>
    </row>
    <row r="110" spans="1:16">
      <c r="A110">
        <v>9</v>
      </c>
      <c r="B110">
        <f t="shared" si="57"/>
        <v>5.7836402064000007E-4</v>
      </c>
      <c r="C110">
        <f t="shared" si="57"/>
        <v>5.8170638358810006E-4</v>
      </c>
      <c r="D110">
        <f t="shared" si="57"/>
        <v>5.6530768643999981E-4</v>
      </c>
      <c r="E110">
        <f t="shared" si="57"/>
        <v>5.5120944062249995E-4</v>
      </c>
      <c r="F110">
        <f t="shared" si="57"/>
        <v>5.5400637427559989E-4</v>
      </c>
      <c r="G110">
        <f t="shared" si="57"/>
        <v>5.5583390577689982E-4</v>
      </c>
      <c r="H110">
        <f t="shared" si="57"/>
        <v>5.4480601556639995E-4</v>
      </c>
      <c r="I110">
        <f t="shared" si="57"/>
        <v>5.3785402122239975E-4</v>
      </c>
      <c r="J110">
        <f t="shared" si="57"/>
        <v>5.3964358585289996E-4</v>
      </c>
      <c r="K110">
        <f t="shared" si="57"/>
        <v>5.4036024392249986E-4</v>
      </c>
      <c r="L110">
        <f t="shared" si="57"/>
        <v>5.0860172484E-4</v>
      </c>
      <c r="M110">
        <f t="shared" si="57"/>
        <v>4.6152315594809995E-4</v>
      </c>
      <c r="N110">
        <f t="shared" si="57"/>
        <v>4.0541741960040009E-4</v>
      </c>
      <c r="O110">
        <f t="shared" si="57"/>
        <v>3.6288421223039987E-4</v>
      </c>
      <c r="P110">
        <f t="shared" si="57"/>
        <v>3.2700393056249997E-4</v>
      </c>
    </row>
    <row r="111" spans="1:16">
      <c r="A111">
        <v>10</v>
      </c>
      <c r="B111">
        <f t="shared" si="57"/>
        <v>6.175885134239999E-4</v>
      </c>
      <c r="C111">
        <f t="shared" si="57"/>
        <v>6.2021925160000014E-4</v>
      </c>
      <c r="D111">
        <f t="shared" si="57"/>
        <v>5.9450730784900007E-4</v>
      </c>
      <c r="E111">
        <f t="shared" si="57"/>
        <v>5.9563973772899998E-4</v>
      </c>
      <c r="F111">
        <f t="shared" si="57"/>
        <v>6.0488572953600007E-4</v>
      </c>
      <c r="G111">
        <f t="shared" si="57"/>
        <v>5.9201944718399995E-4</v>
      </c>
      <c r="H111">
        <f t="shared" si="57"/>
        <v>5.8337669168099994E-4</v>
      </c>
      <c r="I111">
        <f t="shared" si="57"/>
        <v>5.8416824748100003E-4</v>
      </c>
      <c r="J111">
        <f t="shared" si="57"/>
        <v>5.9012202163599996E-4</v>
      </c>
      <c r="K111">
        <f t="shared" si="57"/>
        <v>5.9330971075600004E-4</v>
      </c>
      <c r="L111">
        <f t="shared" si="57"/>
        <v>5.4933593358400001E-4</v>
      </c>
      <c r="M111">
        <f t="shared" si="57"/>
        <v>4.9914225000000014E-4</v>
      </c>
      <c r="N111">
        <f t="shared" si="57"/>
        <v>4.3002248912099995E-4</v>
      </c>
      <c r="O111">
        <f t="shared" si="57"/>
        <v>3.8409626002500007E-4</v>
      </c>
      <c r="P111">
        <f t="shared" si="57"/>
        <v>3.4709183102499995E-4</v>
      </c>
    </row>
    <row r="112" spans="1:16">
      <c r="A112">
        <v>12</v>
      </c>
      <c r="B112">
        <f t="shared" si="57"/>
        <v>6.7698866257920006E-4</v>
      </c>
      <c r="C112">
        <f t="shared" si="57"/>
        <v>7.0619717099520008E-4</v>
      </c>
      <c r="D112">
        <f t="shared" si="57"/>
        <v>7.1202526443000006E-4</v>
      </c>
      <c r="E112">
        <f t="shared" si="57"/>
        <v>6.9032480778719973E-4</v>
      </c>
      <c r="F112">
        <f t="shared" si="57"/>
        <v>6.8729185536480007E-4</v>
      </c>
      <c r="G112">
        <f t="shared" si="57"/>
        <v>6.8106154751999988E-4</v>
      </c>
      <c r="H112">
        <f t="shared" si="57"/>
        <v>6.8199482805120009E-4</v>
      </c>
      <c r="I112">
        <f t="shared" si="57"/>
        <v>6.9106041227999992E-4</v>
      </c>
      <c r="J112">
        <f t="shared" si="57"/>
        <v>6.8532075233280001E-4</v>
      </c>
      <c r="K112">
        <f t="shared" si="57"/>
        <v>6.7571659008479985E-4</v>
      </c>
      <c r="L112">
        <f t="shared" si="57"/>
        <v>6.2398917457920009E-4</v>
      </c>
      <c r="M112">
        <f t="shared" si="57"/>
        <v>5.5196744804280023E-4</v>
      </c>
      <c r="N112">
        <f t="shared" si="57"/>
        <v>4.7005891246079998E-4</v>
      </c>
      <c r="O112">
        <f t="shared" si="57"/>
        <v>4.1633912709120014E-4</v>
      </c>
      <c r="P112">
        <f t="shared" si="57"/>
        <v>3.7531401720119996E-4</v>
      </c>
    </row>
    <row r="113" spans="1:16">
      <c r="A113">
        <v>15</v>
      </c>
      <c r="B113">
        <f t="shared" si="57"/>
        <v>6.9614825625599988E-4</v>
      </c>
      <c r="C113">
        <f t="shared" si="57"/>
        <v>7.3292247015000042E-4</v>
      </c>
      <c r="D113">
        <f t="shared" si="57"/>
        <v>7.4589286233600019E-4</v>
      </c>
      <c r="E113">
        <f t="shared" si="57"/>
        <v>7.7915597760000021E-4</v>
      </c>
      <c r="F113">
        <f t="shared" si="57"/>
        <v>8.026822656000002E-4</v>
      </c>
      <c r="G113">
        <f t="shared" si="57"/>
        <v>7.7837131117349998E-4</v>
      </c>
      <c r="H113">
        <f t="shared" si="57"/>
        <v>7.7132710214999976E-4</v>
      </c>
      <c r="I113">
        <f t="shared" si="57"/>
        <v>7.7243325122399993E-4</v>
      </c>
      <c r="J113">
        <f t="shared" si="57"/>
        <v>7.7237943186150035E-4</v>
      </c>
      <c r="K113">
        <f t="shared" si="57"/>
        <v>7.6435560144600008E-4</v>
      </c>
      <c r="L113">
        <f t="shared" si="57"/>
        <v>6.9246622370399997E-4</v>
      </c>
      <c r="M113">
        <f t="shared" si="57"/>
        <v>6.0399387937349984E-4</v>
      </c>
      <c r="N113">
        <f t="shared" si="57"/>
        <v>5.0863089801600004E-4</v>
      </c>
      <c r="O113">
        <f t="shared" si="57"/>
        <v>4.4166446381400004E-4</v>
      </c>
      <c r="P113">
        <f t="shared" si="57"/>
        <v>3.967629066240001E-4</v>
      </c>
    </row>
    <row r="114" spans="1:16">
      <c r="A114">
        <v>20</v>
      </c>
      <c r="B114">
        <f t="shared" si="57"/>
        <v>8.2449749671200008E-4</v>
      </c>
      <c r="C114">
        <f t="shared" si="57"/>
        <v>8.6443892871199992E-4</v>
      </c>
      <c r="D114">
        <f t="shared" si="57"/>
        <v>8.7570701404999997E-4</v>
      </c>
      <c r="E114">
        <f t="shared" si="57"/>
        <v>8.8897511320200026E-4</v>
      </c>
      <c r="F114">
        <f t="shared" si="57"/>
        <v>9.0845225073800016E-4</v>
      </c>
      <c r="G114">
        <f t="shared" si="57"/>
        <v>8.9974405124999975E-4</v>
      </c>
      <c r="H114">
        <f t="shared" si="57"/>
        <v>8.8415742419999999E-4</v>
      </c>
      <c r="I114">
        <f t="shared" si="57"/>
        <v>8.7738060313799959E-4</v>
      </c>
      <c r="J114">
        <f t="shared" si="57"/>
        <v>8.5697875456200001E-4</v>
      </c>
      <c r="K114">
        <f t="shared" si="57"/>
        <v>8.3671600327200012E-4</v>
      </c>
      <c r="L114">
        <f t="shared" si="57"/>
        <v>7.5854244499999981E-4</v>
      </c>
      <c r="M114">
        <f t="shared" si="57"/>
        <v>6.4302562888199995E-4</v>
      </c>
      <c r="N114">
        <f t="shared" si="57"/>
        <v>5.1479992743199993E-4</v>
      </c>
      <c r="O114">
        <f t="shared" si="57"/>
        <v>4.5327386419199994E-4</v>
      </c>
      <c r="P114">
        <f t="shared" si="57"/>
        <v>4.0430549799200011E-4</v>
      </c>
    </row>
    <row r="115" spans="1:16">
      <c r="A115">
        <v>25</v>
      </c>
      <c r="B115">
        <f t="shared" si="57"/>
        <v>9.3046656260249998E-4</v>
      </c>
      <c r="C115">
        <f t="shared" si="57"/>
        <v>9.5872904322249998E-4</v>
      </c>
      <c r="D115">
        <f t="shared" si="57"/>
        <v>9.457347078400001E-4</v>
      </c>
      <c r="E115">
        <f t="shared" si="57"/>
        <v>9.3807438399999988E-4</v>
      </c>
      <c r="F115">
        <f t="shared" si="57"/>
        <v>9.3044521024000001E-4</v>
      </c>
      <c r="G115">
        <f t="shared" si="57"/>
        <v>9.1333301796000003E-4</v>
      </c>
      <c r="H115">
        <f t="shared" si="57"/>
        <v>9.0117038025000007E-4</v>
      </c>
      <c r="I115">
        <f t="shared" si="57"/>
        <v>8.75508921E-4</v>
      </c>
      <c r="J115">
        <f t="shared" si="57"/>
        <v>8.496059040000002E-4</v>
      </c>
      <c r="K115">
        <f t="shared" si="57"/>
        <v>8.2709733648999976E-4</v>
      </c>
      <c r="L115">
        <f t="shared" si="57"/>
        <v>7.4675399824000027E-4</v>
      </c>
      <c r="M115">
        <f t="shared" si="57"/>
        <v>6.3118271522249992E-4</v>
      </c>
      <c r="N115">
        <f t="shared" si="57"/>
        <v>5.0976608399999992E-4</v>
      </c>
      <c r="O115">
        <f t="shared" si="57"/>
        <v>4.4763980624999992E-4</v>
      </c>
      <c r="P115">
        <f t="shared" ref="C115:P116" si="58">$A66*(P66^2)*(P89^2)</f>
        <v>3.5702291450249996E-4</v>
      </c>
    </row>
    <row r="116" spans="1:16">
      <c r="A116">
        <v>30</v>
      </c>
      <c r="B116">
        <f t="shared" si="57"/>
        <v>1.0972184870880004E-3</v>
      </c>
      <c r="C116">
        <f t="shared" si="58"/>
        <v>1.0625534338680001E-3</v>
      </c>
      <c r="D116">
        <f t="shared" si="58"/>
        <v>1.0276931523000004E-3</v>
      </c>
      <c r="E116">
        <f t="shared" si="58"/>
        <v>9.9637198561200024E-4</v>
      </c>
      <c r="F116">
        <f t="shared" si="58"/>
        <v>9.6014450995199991E-4</v>
      </c>
      <c r="G116">
        <f t="shared" si="58"/>
        <v>9.2446132036800026E-4</v>
      </c>
      <c r="H116">
        <f t="shared" si="58"/>
        <v>8.9679028507499959E-4</v>
      </c>
      <c r="I116">
        <f t="shared" si="58"/>
        <v>8.6851277740799995E-4</v>
      </c>
      <c r="J116">
        <f t="shared" si="58"/>
        <v>8.3263058092800015E-4</v>
      </c>
      <c r="K116">
        <f t="shared" si="58"/>
        <v>8.0084986675200021E-4</v>
      </c>
      <c r="L116">
        <f t="shared" si="58"/>
        <v>7.2569614867199991E-4</v>
      </c>
      <c r="M116">
        <f t="shared" si="58"/>
        <v>6.1447239187500003E-4</v>
      </c>
      <c r="N116">
        <f t="shared" si="58"/>
        <v>4.9134141361199986E-4</v>
      </c>
      <c r="O116">
        <f t="shared" si="58"/>
        <v>3.8269193976299984E-4</v>
      </c>
      <c r="P116">
        <f t="shared" si="58"/>
        <v>2.9888961649200002E-4</v>
      </c>
    </row>
    <row r="120" spans="1:16">
      <c r="A120" t="s">
        <v>28</v>
      </c>
    </row>
    <row r="121" spans="1:16">
      <c r="A121" s="1" t="s">
        <v>0</v>
      </c>
      <c r="B121">
        <v>1</v>
      </c>
      <c r="C121">
        <v>2</v>
      </c>
      <c r="D121">
        <v>3</v>
      </c>
      <c r="E121">
        <v>4</v>
      </c>
      <c r="F121">
        <v>5</v>
      </c>
      <c r="G121">
        <v>6</v>
      </c>
      <c r="H121">
        <v>7</v>
      </c>
      <c r="I121">
        <v>8</v>
      </c>
      <c r="J121">
        <v>9</v>
      </c>
      <c r="K121">
        <v>10</v>
      </c>
      <c r="L121">
        <v>12</v>
      </c>
      <c r="M121">
        <v>15</v>
      </c>
      <c r="N121">
        <v>20</v>
      </c>
      <c r="O121">
        <v>25</v>
      </c>
      <c r="P121">
        <v>30</v>
      </c>
    </row>
    <row r="122" spans="1:16">
      <c r="A122">
        <f>1/12</f>
        <v>8.3333333333333329E-2</v>
      </c>
      <c r="B122">
        <f>B99-B98</f>
        <v>3.3543637519166653E-7</v>
      </c>
      <c r="C122">
        <f t="shared" ref="C122:P122" si="59">C99-C98</f>
        <v>4.5374297320000001E-7</v>
      </c>
      <c r="D122">
        <f t="shared" si="59"/>
        <v>7.8338654276666676E-7</v>
      </c>
      <c r="E122">
        <f t="shared" si="59"/>
        <v>1.1971268097000004E-6</v>
      </c>
      <c r="F122">
        <f t="shared" si="59"/>
        <v>1.7872411703999999E-6</v>
      </c>
      <c r="G122">
        <f t="shared" si="59"/>
        <v>2.2865494637250005E-6</v>
      </c>
      <c r="H122">
        <f t="shared" si="59"/>
        <v>2.8850217342666678E-6</v>
      </c>
      <c r="I122">
        <f t="shared" si="59"/>
        <v>3.5176130653000007E-6</v>
      </c>
      <c r="J122">
        <f t="shared" si="59"/>
        <v>4.0269435102666638E-6</v>
      </c>
      <c r="K122">
        <f t="shared" si="59"/>
        <v>4.4944211203916673E-6</v>
      </c>
      <c r="L122">
        <f t="shared" si="59"/>
        <v>4.9888853005500016E-6</v>
      </c>
      <c r="M122">
        <f t="shared" si="59"/>
        <v>4.7593900034250013E-6</v>
      </c>
      <c r="N122">
        <f t="shared" si="59"/>
        <v>4.8605981196999958E-6</v>
      </c>
      <c r="O122">
        <f t="shared" si="59"/>
        <v>4.8548491776999995E-6</v>
      </c>
      <c r="P122">
        <f t="shared" si="59"/>
        <v>4.9960739389000001E-6</v>
      </c>
    </row>
    <row r="123" spans="1:16">
      <c r="A123">
        <f>1/4</f>
        <v>0.25</v>
      </c>
      <c r="B123">
        <f t="shared" ref="B123:P123" si="60">B100-B99</f>
        <v>5.5860856077500006E-7</v>
      </c>
      <c r="C123">
        <f t="shared" si="60"/>
        <v>8.7882399320000011E-7</v>
      </c>
      <c r="D123">
        <f t="shared" si="60"/>
        <v>1.4881985788000003E-6</v>
      </c>
      <c r="E123">
        <f t="shared" si="60"/>
        <v>2.2614491230999995E-6</v>
      </c>
      <c r="F123">
        <f t="shared" si="60"/>
        <v>3.3049314256499981E-6</v>
      </c>
      <c r="G123">
        <f t="shared" si="60"/>
        <v>4.1520690337999983E-6</v>
      </c>
      <c r="H123">
        <f t="shared" si="60"/>
        <v>4.896511750799999E-6</v>
      </c>
      <c r="I123">
        <f t="shared" si="60"/>
        <v>5.7099078167000038E-6</v>
      </c>
      <c r="J123">
        <f t="shared" si="60"/>
        <v>6.5402743676500052E-6</v>
      </c>
      <c r="K123">
        <f t="shared" si="60"/>
        <v>7.1864410915749977E-6</v>
      </c>
      <c r="L123">
        <f t="shared" si="60"/>
        <v>7.4648275420250013E-6</v>
      </c>
      <c r="M123">
        <f t="shared" si="60"/>
        <v>7.0847947455749967E-6</v>
      </c>
      <c r="N123">
        <f t="shared" si="60"/>
        <v>7.4718917016500002E-6</v>
      </c>
      <c r="O123">
        <f t="shared" si="60"/>
        <v>7.4756823679000017E-6</v>
      </c>
      <c r="P123">
        <f t="shared" si="60"/>
        <v>7.7766630817999996E-6</v>
      </c>
    </row>
    <row r="124" spans="1:16">
      <c r="A124">
        <v>0.5</v>
      </c>
      <c r="B124">
        <f t="shared" ref="B124:P124" si="61">B101-B100</f>
        <v>9.9500360879999992E-7</v>
      </c>
      <c r="C124">
        <f t="shared" si="61"/>
        <v>1.7232032043000005E-6</v>
      </c>
      <c r="D124">
        <f t="shared" si="61"/>
        <v>2.6847092799999984E-6</v>
      </c>
      <c r="E124">
        <f t="shared" si="61"/>
        <v>3.8622681099999975E-6</v>
      </c>
      <c r="F124">
        <f t="shared" si="61"/>
        <v>5.0193381046500035E-6</v>
      </c>
      <c r="G124">
        <f t="shared" si="61"/>
        <v>6.1711715224750018E-6</v>
      </c>
      <c r="H124">
        <f t="shared" si="61"/>
        <v>7.1303436647999999E-6</v>
      </c>
      <c r="I124">
        <f t="shared" si="61"/>
        <v>8.0625216194999943E-6</v>
      </c>
      <c r="J124">
        <f t="shared" si="61"/>
        <v>8.9303211804250014E-6</v>
      </c>
      <c r="K124">
        <f t="shared" si="61"/>
        <v>9.3881484279999973E-6</v>
      </c>
      <c r="L124">
        <f t="shared" si="61"/>
        <v>1.004727068875E-5</v>
      </c>
      <c r="M124">
        <f t="shared" si="61"/>
        <v>9.5366085114000058E-6</v>
      </c>
      <c r="N124">
        <f t="shared" si="61"/>
        <v>9.3688628420249992E-6</v>
      </c>
      <c r="O124">
        <f t="shared" si="61"/>
        <v>9.3815566539999879E-6</v>
      </c>
      <c r="P124">
        <f t="shared" si="61"/>
        <v>9.2188850364750037E-6</v>
      </c>
    </row>
    <row r="125" spans="1:16">
      <c r="A125">
        <f>3/4</f>
        <v>0.75</v>
      </c>
      <c r="B125">
        <f t="shared" ref="B125:P125" si="62">B102-B101</f>
        <v>1.4348569488000003E-6</v>
      </c>
      <c r="C125">
        <f t="shared" si="62"/>
        <v>2.7655472600999985E-6</v>
      </c>
      <c r="D125">
        <f t="shared" si="62"/>
        <v>4.4780730889000015E-6</v>
      </c>
      <c r="E125">
        <f t="shared" si="62"/>
        <v>5.6897241300000076E-6</v>
      </c>
      <c r="F125">
        <f t="shared" si="62"/>
        <v>7.3734739892999956E-6</v>
      </c>
      <c r="G125">
        <f t="shared" si="62"/>
        <v>8.765374502924999E-6</v>
      </c>
      <c r="H125">
        <f t="shared" si="62"/>
        <v>9.787782528900002E-6</v>
      </c>
      <c r="I125">
        <f t="shared" si="62"/>
        <v>1.0670799807700003E-5</v>
      </c>
      <c r="J125">
        <f t="shared" si="62"/>
        <v>1.1059659229224998E-5</v>
      </c>
      <c r="K125">
        <f t="shared" si="62"/>
        <v>1.1740472948800009E-5</v>
      </c>
      <c r="L125">
        <f t="shared" si="62"/>
        <v>1.207029488999999E-5</v>
      </c>
      <c r="M125">
        <f t="shared" si="62"/>
        <v>1.1440949279199994E-5</v>
      </c>
      <c r="N125">
        <f t="shared" si="62"/>
        <v>1.1166951939525011E-5</v>
      </c>
      <c r="O125">
        <f t="shared" si="62"/>
        <v>1.0715092709200005E-5</v>
      </c>
      <c r="P125">
        <f t="shared" si="62"/>
        <v>1.0477519159424978E-5</v>
      </c>
    </row>
    <row r="126" spans="1:16">
      <c r="A126">
        <v>1</v>
      </c>
      <c r="B126">
        <f t="shared" ref="B126:P126" si="63">B103-B102</f>
        <v>1.7804027176200002E-5</v>
      </c>
      <c r="C126">
        <f t="shared" si="63"/>
        <v>2.91432449372E-5</v>
      </c>
      <c r="D126">
        <f t="shared" si="63"/>
        <v>3.5501327851900004E-5</v>
      </c>
      <c r="E126">
        <f t="shared" si="63"/>
        <v>4.0790721036799997E-5</v>
      </c>
      <c r="F126">
        <f t="shared" si="63"/>
        <v>4.4856948211200007E-5</v>
      </c>
      <c r="G126">
        <f t="shared" si="63"/>
        <v>4.8092480489599998E-5</v>
      </c>
      <c r="H126">
        <f t="shared" si="63"/>
        <v>5.0202440019900011E-5</v>
      </c>
      <c r="I126">
        <f t="shared" si="63"/>
        <v>5.1969879404800015E-5</v>
      </c>
      <c r="J126">
        <f t="shared" si="63"/>
        <v>5.3592106531900005E-5</v>
      </c>
      <c r="K126">
        <f t="shared" si="63"/>
        <v>5.5754251872199985E-5</v>
      </c>
      <c r="L126">
        <f t="shared" si="63"/>
        <v>5.4816740002799995E-5</v>
      </c>
      <c r="M126">
        <f t="shared" si="63"/>
        <v>5.0215943702799993E-5</v>
      </c>
      <c r="N126">
        <f t="shared" si="63"/>
        <v>4.9652266998599985E-5</v>
      </c>
      <c r="O126">
        <f t="shared" si="63"/>
        <v>4.8192920019199993E-5</v>
      </c>
      <c r="P126">
        <f t="shared" si="63"/>
        <v>4.6752602040900005E-5</v>
      </c>
    </row>
    <row r="127" spans="1:16">
      <c r="A127">
        <f>2</f>
        <v>2</v>
      </c>
      <c r="B127">
        <f t="shared" ref="B127:P127" si="64">B104-B103</f>
        <v>6.2407077104999998E-5</v>
      </c>
      <c r="C127">
        <f t="shared" si="64"/>
        <v>6.8369093651500003E-5</v>
      </c>
      <c r="D127">
        <f t="shared" si="64"/>
        <v>7.0996552913199989E-5</v>
      </c>
      <c r="E127">
        <f t="shared" si="64"/>
        <v>7.1755804069899997E-5</v>
      </c>
      <c r="F127">
        <f t="shared" si="64"/>
        <v>7.1590398677099984E-5</v>
      </c>
      <c r="G127">
        <f t="shared" si="64"/>
        <v>6.9540608061999991E-5</v>
      </c>
      <c r="H127">
        <f t="shared" si="64"/>
        <v>6.9449226077999981E-5</v>
      </c>
      <c r="I127">
        <f t="shared" si="64"/>
        <v>6.7309938879999979E-5</v>
      </c>
      <c r="J127">
        <f t="shared" si="64"/>
        <v>6.6451065407200033E-5</v>
      </c>
      <c r="K127">
        <f t="shared" si="64"/>
        <v>6.2079216658500019E-5</v>
      </c>
      <c r="L127">
        <f t="shared" si="64"/>
        <v>6.305203370999998E-5</v>
      </c>
      <c r="M127">
        <f t="shared" si="64"/>
        <v>5.550597598509998E-5</v>
      </c>
      <c r="N127">
        <f t="shared" si="64"/>
        <v>5.2102759879800017E-5</v>
      </c>
      <c r="O127">
        <f t="shared" si="64"/>
        <v>4.8538404100800011E-5</v>
      </c>
      <c r="P127">
        <f t="shared" si="64"/>
        <v>4.6918429807800015E-5</v>
      </c>
    </row>
    <row r="128" spans="1:16">
      <c r="A128">
        <v>3</v>
      </c>
      <c r="B128">
        <f t="shared" ref="B128:P128" si="65">B105-B104</f>
        <v>9.5386889551200005E-5</v>
      </c>
      <c r="C128">
        <f t="shared" si="65"/>
        <v>8.9502461510099964E-5</v>
      </c>
      <c r="D128">
        <f t="shared" si="65"/>
        <v>8.2250759726799951E-5</v>
      </c>
      <c r="E128">
        <f t="shared" si="65"/>
        <v>8.0685997139700038E-5</v>
      </c>
      <c r="F128">
        <f t="shared" si="65"/>
        <v>7.9125985311700027E-5</v>
      </c>
      <c r="G128">
        <f t="shared" si="65"/>
        <v>7.9086016013200011E-5</v>
      </c>
      <c r="H128">
        <f t="shared" si="65"/>
        <v>7.5886096635600046E-5</v>
      </c>
      <c r="I128">
        <f t="shared" si="65"/>
        <v>7.4340817715200019E-5</v>
      </c>
      <c r="J128">
        <f t="shared" si="65"/>
        <v>7.1868695233599935E-5</v>
      </c>
      <c r="K128">
        <f t="shared" si="65"/>
        <v>7.218700168209994E-5</v>
      </c>
      <c r="L128">
        <f t="shared" si="65"/>
        <v>6.6802620501599973E-5</v>
      </c>
      <c r="M128">
        <f t="shared" si="65"/>
        <v>6.2712814193700069E-5</v>
      </c>
      <c r="N128">
        <f t="shared" si="65"/>
        <v>5.8014933760000017E-5</v>
      </c>
      <c r="O128">
        <f t="shared" si="65"/>
        <v>5.1501381870400122E-5</v>
      </c>
      <c r="P128">
        <f t="shared" si="65"/>
        <v>4.5937153507200025E-5</v>
      </c>
    </row>
    <row r="129" spans="1:16">
      <c r="A129">
        <v>4</v>
      </c>
      <c r="B129">
        <f t="shared" ref="B129:P129" si="66">B106-B105</f>
        <v>8.6585911559999954E-5</v>
      </c>
      <c r="C129">
        <f t="shared" si="66"/>
        <v>8.917287300360004E-5</v>
      </c>
      <c r="D129">
        <f t="shared" si="66"/>
        <v>8.5566270752000085E-5</v>
      </c>
      <c r="E129">
        <f t="shared" si="66"/>
        <v>8.0569587995599971E-5</v>
      </c>
      <c r="F129">
        <f t="shared" si="66"/>
        <v>7.943000568799992E-5</v>
      </c>
      <c r="G129">
        <f t="shared" si="66"/>
        <v>7.6370319347600016E-5</v>
      </c>
      <c r="H129">
        <f t="shared" si="66"/>
        <v>7.8394422230099945E-5</v>
      </c>
      <c r="I129">
        <f t="shared" si="66"/>
        <v>7.3804851200000066E-5</v>
      </c>
      <c r="J129">
        <f t="shared" si="66"/>
        <v>7.3730363838400096E-5</v>
      </c>
      <c r="K129">
        <f t="shared" si="66"/>
        <v>7.6672529062100079E-5</v>
      </c>
      <c r="L129">
        <f t="shared" si="66"/>
        <v>6.6745882895600053E-5</v>
      </c>
      <c r="M129">
        <f t="shared" si="66"/>
        <v>6.2708774677999995E-5</v>
      </c>
      <c r="N129">
        <f t="shared" si="66"/>
        <v>5.648887872799997E-5</v>
      </c>
      <c r="O129">
        <f t="shared" si="66"/>
        <v>5.0635742059599903E-5</v>
      </c>
      <c r="P129">
        <f t="shared" si="66"/>
        <v>4.3432516727999948E-5</v>
      </c>
    </row>
    <row r="130" spans="1:16">
      <c r="A130">
        <v>5</v>
      </c>
      <c r="B130">
        <f t="shared" ref="B130:P130" si="67">B107-B106</f>
        <v>1.0128615292500005E-4</v>
      </c>
      <c r="C130">
        <f t="shared" si="67"/>
        <v>9.4064039789999948E-5</v>
      </c>
      <c r="D130">
        <f t="shared" si="67"/>
        <v>8.6609592441599871E-5</v>
      </c>
      <c r="E130">
        <f t="shared" si="67"/>
        <v>8.0685995038600063E-5</v>
      </c>
      <c r="F130">
        <f t="shared" si="67"/>
        <v>7.8547806518400125E-5</v>
      </c>
      <c r="G130">
        <f t="shared" si="67"/>
        <v>7.3784156180399854E-5</v>
      </c>
      <c r="H130">
        <f t="shared" si="67"/>
        <v>6.6944529897899961E-5</v>
      </c>
      <c r="I130">
        <f t="shared" si="67"/>
        <v>7.188014639039988E-5</v>
      </c>
      <c r="J130">
        <f t="shared" si="67"/>
        <v>7.1961196287999903E-5</v>
      </c>
      <c r="K130">
        <f t="shared" si="67"/>
        <v>6.2728689235499904E-5</v>
      </c>
      <c r="L130">
        <f t="shared" si="67"/>
        <v>5.9791417218399922E-5</v>
      </c>
      <c r="M130">
        <f t="shared" si="67"/>
        <v>5.3131135542400048E-5</v>
      </c>
      <c r="N130">
        <f t="shared" si="67"/>
        <v>4.4421441552600094E-5</v>
      </c>
      <c r="O130">
        <f t="shared" si="67"/>
        <v>3.9848777365000023E-5</v>
      </c>
      <c r="P130">
        <f t="shared" si="67"/>
        <v>3.3029406777600033E-5</v>
      </c>
    </row>
    <row r="131" spans="1:16">
      <c r="A131">
        <v>6</v>
      </c>
      <c r="B131">
        <f t="shared" ref="B131:P131" si="68">B108-B107</f>
        <v>5.6781549715800058E-5</v>
      </c>
      <c r="C131">
        <f t="shared" si="68"/>
        <v>5.3523638758299979E-5</v>
      </c>
      <c r="D131">
        <f t="shared" si="68"/>
        <v>5.6397010460700091E-5</v>
      </c>
      <c r="E131">
        <f t="shared" si="68"/>
        <v>5.5710977909399881E-5</v>
      </c>
      <c r="F131">
        <f t="shared" si="68"/>
        <v>4.9218250851100053E-5</v>
      </c>
      <c r="G131">
        <f t="shared" si="68"/>
        <v>4.8381103324800223E-5</v>
      </c>
      <c r="H131">
        <f t="shared" si="68"/>
        <v>5.0731184747100145E-5</v>
      </c>
      <c r="I131">
        <f t="shared" si="68"/>
        <v>5.8360468940399997E-5</v>
      </c>
      <c r="J131">
        <f t="shared" si="68"/>
        <v>5.3067623550300111E-5</v>
      </c>
      <c r="K131">
        <f t="shared" si="68"/>
        <v>5.5995299898299968E-5</v>
      </c>
      <c r="L131">
        <f t="shared" si="68"/>
        <v>5.3755362781600174E-5</v>
      </c>
      <c r="M131">
        <f t="shared" si="68"/>
        <v>4.787295036479995E-5</v>
      </c>
      <c r="N131">
        <f t="shared" si="68"/>
        <v>3.7709437149399986E-5</v>
      </c>
      <c r="O131">
        <f t="shared" si="68"/>
        <v>2.9823529371299999E-5</v>
      </c>
      <c r="P131">
        <f t="shared" si="68"/>
        <v>2.7389997734399932E-5</v>
      </c>
    </row>
    <row r="132" spans="1:16">
      <c r="A132">
        <v>7</v>
      </c>
      <c r="B132">
        <f t="shared" ref="B132:P132" si="69">B109-B108</f>
        <v>9.3096358189200066E-5</v>
      </c>
      <c r="C132">
        <f t="shared" si="69"/>
        <v>8.7508187706500113E-5</v>
      </c>
      <c r="D132">
        <f t="shared" si="69"/>
        <v>7.9090133065699928E-5</v>
      </c>
      <c r="E132">
        <f t="shared" si="69"/>
        <v>7.4748417814799926E-5</v>
      </c>
      <c r="F132">
        <f t="shared" si="69"/>
        <v>7.1626159382500018E-5</v>
      </c>
      <c r="G132">
        <f t="shared" si="69"/>
        <v>6.9583827801599797E-5</v>
      </c>
      <c r="H132">
        <f t="shared" si="69"/>
        <v>7.4493454907299946E-5</v>
      </c>
      <c r="I132">
        <f t="shared" si="69"/>
        <v>5.8443277456400123E-5</v>
      </c>
      <c r="J132">
        <f t="shared" si="69"/>
        <v>6.1253295438499882E-5</v>
      </c>
      <c r="K132">
        <f t="shared" si="69"/>
        <v>6.2695455941700067E-5</v>
      </c>
      <c r="L132">
        <f t="shared" si="69"/>
        <v>6.0383894479999897E-5</v>
      </c>
      <c r="M132">
        <f t="shared" si="69"/>
        <v>4.8572827164800178E-5</v>
      </c>
      <c r="N132">
        <f t="shared" si="69"/>
        <v>3.7794626061199909E-5</v>
      </c>
      <c r="O132">
        <f t="shared" si="69"/>
        <v>3.1913728794499851E-5</v>
      </c>
      <c r="P132">
        <f t="shared" si="69"/>
        <v>2.7710464320000055E-5</v>
      </c>
    </row>
    <row r="133" spans="1:16">
      <c r="A133">
        <v>8</v>
      </c>
      <c r="B133">
        <f t="shared" ref="B133:P133" si="70">B110-B109</f>
        <v>6.1501329359999932E-5</v>
      </c>
      <c r="C133">
        <f t="shared" si="70"/>
        <v>6.4392185283300017E-5</v>
      </c>
      <c r="D133">
        <f t="shared" si="70"/>
        <v>5.9127851559999888E-5</v>
      </c>
      <c r="E133">
        <f t="shared" si="70"/>
        <v>5.2707761057700078E-5</v>
      </c>
      <c r="F133">
        <f t="shared" si="70"/>
        <v>6.1340324275599759E-5</v>
      </c>
      <c r="G133">
        <f t="shared" si="70"/>
        <v>6.855963606809993E-5</v>
      </c>
      <c r="H133">
        <f t="shared" si="70"/>
        <v>5.2599408001599915E-5</v>
      </c>
      <c r="I133">
        <f t="shared" si="70"/>
        <v>5.204214123519967E-5</v>
      </c>
      <c r="J133">
        <f t="shared" si="70"/>
        <v>5.5097664624099995E-5</v>
      </c>
      <c r="K133">
        <f t="shared" si="70"/>
        <v>5.707862984249989E-5</v>
      </c>
      <c r="L133">
        <f t="shared" si="70"/>
        <v>4.6023030360000012E-5</v>
      </c>
      <c r="M133">
        <f t="shared" si="70"/>
        <v>4.5361905948099743E-5</v>
      </c>
      <c r="N133">
        <f t="shared" si="70"/>
        <v>3.3473153869200106E-5</v>
      </c>
      <c r="O133">
        <f t="shared" si="70"/>
        <v>2.6884284649599975E-5</v>
      </c>
      <c r="P133">
        <f t="shared" si="70"/>
        <v>1.9979730562499974E-5</v>
      </c>
    </row>
    <row r="134" spans="1:16">
      <c r="A134">
        <v>9</v>
      </c>
      <c r="B134">
        <f t="shared" ref="B134:P134" si="71">B111-B110</f>
        <v>3.9224492783999833E-5</v>
      </c>
      <c r="C134">
        <f t="shared" si="71"/>
        <v>3.8512868011900082E-5</v>
      </c>
      <c r="D134">
        <f t="shared" si="71"/>
        <v>2.9199621409000255E-5</v>
      </c>
      <c r="E134">
        <f t="shared" si="71"/>
        <v>4.4430297106500026E-5</v>
      </c>
      <c r="F134">
        <f t="shared" si="71"/>
        <v>5.0879355260400184E-5</v>
      </c>
      <c r="G134">
        <f t="shared" si="71"/>
        <v>3.6185541407100135E-5</v>
      </c>
      <c r="H134">
        <f t="shared" si="71"/>
        <v>3.8570676114599994E-5</v>
      </c>
      <c r="I134">
        <f t="shared" si="71"/>
        <v>4.6314226258600279E-5</v>
      </c>
      <c r="J134">
        <f t="shared" si="71"/>
        <v>5.0478435783099995E-5</v>
      </c>
      <c r="K134">
        <f t="shared" si="71"/>
        <v>5.2949466833500185E-5</v>
      </c>
      <c r="L134">
        <f t="shared" si="71"/>
        <v>4.0734208744000011E-5</v>
      </c>
      <c r="M134">
        <f t="shared" si="71"/>
        <v>3.7619094051900186E-5</v>
      </c>
      <c r="N134">
        <f t="shared" si="71"/>
        <v>2.4605069520599861E-5</v>
      </c>
      <c r="O134">
        <f t="shared" si="71"/>
        <v>2.12120477946002E-5</v>
      </c>
      <c r="P134">
        <f t="shared" si="71"/>
        <v>2.0087900462499987E-5</v>
      </c>
    </row>
    <row r="135" spans="1:16">
      <c r="A135">
        <v>10</v>
      </c>
      <c r="B135">
        <f t="shared" ref="B135:P135" si="72">B112-B111</f>
        <v>5.9400149155200161E-5</v>
      </c>
      <c r="C135">
        <f t="shared" si="72"/>
        <v>8.5977919395199939E-5</v>
      </c>
      <c r="D135">
        <f t="shared" si="72"/>
        <v>1.1751795658099999E-4</v>
      </c>
      <c r="E135">
        <f t="shared" si="72"/>
        <v>9.4685070058199753E-5</v>
      </c>
      <c r="F135">
        <f t="shared" si="72"/>
        <v>8.2406125828799999E-5</v>
      </c>
      <c r="G135">
        <f t="shared" si="72"/>
        <v>8.9042100335999931E-5</v>
      </c>
      <c r="H135">
        <f t="shared" si="72"/>
        <v>9.861813637020015E-5</v>
      </c>
      <c r="I135">
        <f t="shared" si="72"/>
        <v>1.0689216479899989E-4</v>
      </c>
      <c r="J135">
        <f t="shared" si="72"/>
        <v>9.5198730696800056E-5</v>
      </c>
      <c r="K135">
        <f t="shared" si="72"/>
        <v>8.2406879328799807E-5</v>
      </c>
      <c r="L135">
        <f t="shared" si="72"/>
        <v>7.4653240995200079E-5</v>
      </c>
      <c r="M135">
        <f t="shared" si="72"/>
        <v>5.2825198042800092E-5</v>
      </c>
      <c r="N135">
        <f t="shared" si="72"/>
        <v>4.0036423339800031E-5</v>
      </c>
      <c r="O135">
        <f t="shared" si="72"/>
        <v>3.2242867066200069E-5</v>
      </c>
      <c r="P135">
        <f t="shared" si="72"/>
        <v>2.8222186176200001E-5</v>
      </c>
    </row>
    <row r="136" spans="1:16">
      <c r="A136">
        <v>12</v>
      </c>
      <c r="B136">
        <f t="shared" ref="B136:P136" si="73">B113-B112</f>
        <v>1.9159593676799816E-5</v>
      </c>
      <c r="C136">
        <f t="shared" si="73"/>
        <v>2.6725299154800337E-5</v>
      </c>
      <c r="D136">
        <f t="shared" si="73"/>
        <v>3.3867597906000134E-5</v>
      </c>
      <c r="E136">
        <f t="shared" si="73"/>
        <v>8.8831169812800476E-5</v>
      </c>
      <c r="F136">
        <f t="shared" si="73"/>
        <v>1.1539041023520013E-4</v>
      </c>
      <c r="G136">
        <f t="shared" si="73"/>
        <v>9.7309763653500095E-5</v>
      </c>
      <c r="H136">
        <f t="shared" si="73"/>
        <v>8.9332274098799665E-5</v>
      </c>
      <c r="I136">
        <f t="shared" si="73"/>
        <v>8.137283894400001E-5</v>
      </c>
      <c r="J136">
        <f t="shared" si="73"/>
        <v>8.7058679528700337E-5</v>
      </c>
      <c r="K136">
        <f t="shared" si="73"/>
        <v>8.8639011361200232E-5</v>
      </c>
      <c r="L136">
        <f t="shared" si="73"/>
        <v>6.8477049124799879E-5</v>
      </c>
      <c r="M136">
        <f t="shared" si="73"/>
        <v>5.2026431330699612E-5</v>
      </c>
      <c r="N136">
        <f t="shared" si="73"/>
        <v>3.8571985555200053E-5</v>
      </c>
      <c r="O136">
        <f t="shared" si="73"/>
        <v>2.5325336722799904E-5</v>
      </c>
      <c r="P136">
        <f t="shared" si="73"/>
        <v>2.1448889422800142E-5</v>
      </c>
    </row>
    <row r="137" spans="1:16">
      <c r="A137">
        <v>15</v>
      </c>
      <c r="B137">
        <f t="shared" ref="B137:P137" si="74">B114-B113</f>
        <v>1.283492404560002E-4</v>
      </c>
      <c r="C137">
        <f t="shared" si="74"/>
        <v>1.3151645856199949E-4</v>
      </c>
      <c r="D137">
        <f t="shared" si="74"/>
        <v>1.2981415171399978E-4</v>
      </c>
      <c r="E137">
        <f t="shared" si="74"/>
        <v>1.0981913560200005E-4</v>
      </c>
      <c r="F137">
        <f t="shared" si="74"/>
        <v>1.0576998513799995E-4</v>
      </c>
      <c r="G137">
        <f t="shared" si="74"/>
        <v>1.2137274007649977E-4</v>
      </c>
      <c r="H137">
        <f t="shared" si="74"/>
        <v>1.1283032205000024E-4</v>
      </c>
      <c r="I137">
        <f t="shared" si="74"/>
        <v>1.0494735191399966E-4</v>
      </c>
      <c r="J137">
        <f t="shared" si="74"/>
        <v>8.4599322700499658E-5</v>
      </c>
      <c r="K137">
        <f t="shared" si="74"/>
        <v>7.2360401826000037E-5</v>
      </c>
      <c r="L137">
        <f t="shared" si="74"/>
        <v>6.6076221295999845E-5</v>
      </c>
      <c r="M137">
        <f t="shared" si="74"/>
        <v>3.9031749508500104E-5</v>
      </c>
      <c r="N137">
        <f t="shared" si="74"/>
        <v>6.1690294159998972E-6</v>
      </c>
      <c r="O137">
        <f t="shared" si="74"/>
        <v>1.1609400377999895E-5</v>
      </c>
      <c r="P137">
        <f t="shared" si="74"/>
        <v>7.5425913680000098E-6</v>
      </c>
    </row>
    <row r="138" spans="1:16">
      <c r="A138">
        <v>20</v>
      </c>
      <c r="B138">
        <f t="shared" ref="B138:P138" si="75">B115-B114</f>
        <v>1.059690658904999E-4</v>
      </c>
      <c r="C138">
        <f t="shared" si="75"/>
        <v>9.4290114510500061E-5</v>
      </c>
      <c r="D138">
        <f t="shared" si="75"/>
        <v>7.0027693790000126E-5</v>
      </c>
      <c r="E138">
        <f t="shared" si="75"/>
        <v>4.9099270797999623E-5</v>
      </c>
      <c r="F138">
        <f t="shared" si="75"/>
        <v>2.1992959501999855E-5</v>
      </c>
      <c r="G138">
        <f t="shared" si="75"/>
        <v>1.3588966710000277E-5</v>
      </c>
      <c r="H138">
        <f t="shared" si="75"/>
        <v>1.7012956050000078E-5</v>
      </c>
      <c r="I138">
        <f t="shared" si="75"/>
        <v>-1.8716821379995922E-6</v>
      </c>
      <c r="J138">
        <f t="shared" si="75"/>
        <v>-7.3728505619998028E-6</v>
      </c>
      <c r="K138">
        <f t="shared" si="75"/>
        <v>-9.6186667820003565E-6</v>
      </c>
      <c r="L138">
        <f t="shared" si="75"/>
        <v>-1.1788446759999536E-5</v>
      </c>
      <c r="M138">
        <f t="shared" si="75"/>
        <v>-1.1842913659500026E-5</v>
      </c>
      <c r="N138">
        <f t="shared" si="75"/>
        <v>-5.0338434320000135E-6</v>
      </c>
      <c r="O138">
        <f t="shared" si="75"/>
        <v>-5.6340579420000145E-6</v>
      </c>
      <c r="P138">
        <f t="shared" si="75"/>
        <v>-4.7282583489500151E-5</v>
      </c>
    </row>
    <row r="139" spans="1:16">
      <c r="A139">
        <v>25</v>
      </c>
      <c r="B139">
        <f t="shared" ref="B139:P139" si="76">B116-B115</f>
        <v>1.6675192448550044E-4</v>
      </c>
      <c r="C139">
        <f t="shared" si="76"/>
        <v>1.0382439064550008E-4</v>
      </c>
      <c r="D139">
        <f t="shared" si="76"/>
        <v>8.1958444460000302E-5</v>
      </c>
      <c r="E139">
        <f t="shared" si="76"/>
        <v>5.8297601612000358E-5</v>
      </c>
      <c r="F139">
        <f t="shared" si="76"/>
        <v>2.9699299711999903E-5</v>
      </c>
      <c r="G139">
        <f t="shared" si="76"/>
        <v>1.1128302408000231E-5</v>
      </c>
      <c r="H139">
        <f t="shared" si="76"/>
        <v>-4.3800951750004851E-6</v>
      </c>
      <c r="I139">
        <f t="shared" si="76"/>
        <v>-6.9961435920000512E-6</v>
      </c>
      <c r="J139">
        <f t="shared" si="76"/>
        <v>-1.6975323072000053E-5</v>
      </c>
      <c r="K139">
        <f t="shared" si="76"/>
        <v>-2.624746973799955E-5</v>
      </c>
      <c r="L139">
        <f t="shared" si="76"/>
        <v>-2.1057849568000366E-5</v>
      </c>
      <c r="M139">
        <f t="shared" si="76"/>
        <v>-1.6710323347499893E-5</v>
      </c>
      <c r="N139">
        <f t="shared" si="76"/>
        <v>-1.8424670388000062E-5</v>
      </c>
      <c r="O139">
        <f t="shared" si="76"/>
        <v>-6.4947866487000084E-5</v>
      </c>
      <c r="P139">
        <f t="shared" si="76"/>
        <v>-5.8133298010499938E-5</v>
      </c>
    </row>
    <row r="140" spans="1:16">
      <c r="A140">
        <v>30</v>
      </c>
    </row>
    <row r="147" spans="1:16">
      <c r="A147" t="s">
        <v>27</v>
      </c>
      <c r="C147" t="s">
        <v>30</v>
      </c>
    </row>
    <row r="148" spans="1:16">
      <c r="A148" s="1" t="s">
        <v>0</v>
      </c>
      <c r="B148">
        <v>1</v>
      </c>
      <c r="C148">
        <v>2</v>
      </c>
      <c r="D148">
        <v>3</v>
      </c>
      <c r="E148">
        <v>4</v>
      </c>
      <c r="F148">
        <v>5</v>
      </c>
      <c r="G148">
        <v>6</v>
      </c>
      <c r="H148">
        <v>7</v>
      </c>
      <c r="I148">
        <v>8</v>
      </c>
      <c r="J148">
        <v>9</v>
      </c>
      <c r="K148">
        <v>10</v>
      </c>
      <c r="L148">
        <v>12</v>
      </c>
      <c r="M148">
        <v>15</v>
      </c>
      <c r="N148">
        <v>20</v>
      </c>
      <c r="O148">
        <v>25</v>
      </c>
      <c r="P148">
        <v>30</v>
      </c>
    </row>
    <row r="149" spans="1:16">
      <c r="A149">
        <f>1/12</f>
        <v>8.3333333333333329E-2</v>
      </c>
      <c r="B149">
        <f>$A49*(B49^2)</f>
        <v>2.2689603333333336E-2</v>
      </c>
      <c r="C149">
        <f t="shared" ref="C149:P149" si="77">$A49*(C49^2)</f>
        <v>2.0443507499999999E-2</v>
      </c>
      <c r="D149">
        <f t="shared" si="77"/>
        <v>2.3117740833333338E-2</v>
      </c>
      <c r="E149">
        <f t="shared" si="77"/>
        <v>2.3594200833333332E-2</v>
      </c>
      <c r="F149">
        <f t="shared" si="77"/>
        <v>2.1819740833333337E-2</v>
      </c>
      <c r="G149">
        <f t="shared" si="77"/>
        <v>1.9902307499999997E-2</v>
      </c>
      <c r="H149">
        <f t="shared" si="77"/>
        <v>1.8150740833333331E-2</v>
      </c>
      <c r="I149">
        <f t="shared" si="77"/>
        <v>1.6740269999999998E-2</v>
      </c>
      <c r="J149">
        <f t="shared" si="77"/>
        <v>1.5609653333333334E-2</v>
      </c>
      <c r="K149">
        <f t="shared" si="77"/>
        <v>1.4630083333333332E-2</v>
      </c>
      <c r="L149">
        <f t="shared" si="77"/>
        <v>1.2307207499999997E-2</v>
      </c>
      <c r="M149">
        <f t="shared" si="77"/>
        <v>9.2796408333333316E-3</v>
      </c>
      <c r="N149">
        <f t="shared" si="77"/>
        <v>8.3582408333333358E-3</v>
      </c>
      <c r="O149">
        <f t="shared" si="77"/>
        <v>8.4588299999999988E-3</v>
      </c>
      <c r="P149">
        <f t="shared" si="77"/>
        <v>8.9926875000000007E-3</v>
      </c>
    </row>
    <row r="150" spans="1:16">
      <c r="A150">
        <f>1/4</f>
        <v>0.25</v>
      </c>
      <c r="B150">
        <f t="shared" ref="B150:P150" si="78">$A50*(B50^2)</f>
        <v>6.2575022499999994E-2</v>
      </c>
      <c r="C150">
        <f t="shared" si="78"/>
        <v>5.7360249999999995E-2</v>
      </c>
      <c r="D150">
        <f t="shared" si="78"/>
        <v>6.6460840000000021E-2</v>
      </c>
      <c r="E150">
        <f t="shared" si="78"/>
        <v>6.6925689999999996E-2</v>
      </c>
      <c r="F150">
        <f t="shared" si="78"/>
        <v>6.4821160000000003E-2</v>
      </c>
      <c r="G150">
        <f t="shared" si="78"/>
        <v>5.6453760000000006E-2</v>
      </c>
      <c r="H150">
        <f t="shared" si="78"/>
        <v>5.069252250000001E-2</v>
      </c>
      <c r="I150">
        <f t="shared" si="78"/>
        <v>4.6807322500000005E-2</v>
      </c>
      <c r="J150">
        <f t="shared" si="78"/>
        <v>4.3014759999999992E-2</v>
      </c>
      <c r="K150">
        <f t="shared" si="78"/>
        <v>3.9940022499999998E-2</v>
      </c>
      <c r="L150">
        <f t="shared" si="78"/>
        <v>3.3543922500000004E-2</v>
      </c>
      <c r="M150">
        <f t="shared" si="78"/>
        <v>2.5233322499999999E-2</v>
      </c>
      <c r="N150">
        <f t="shared" si="78"/>
        <v>2.1933610000000003E-2</v>
      </c>
      <c r="O150">
        <f t="shared" si="78"/>
        <v>2.1184802499999995E-2</v>
      </c>
      <c r="P150">
        <f t="shared" si="78"/>
        <v>2.1815290000000001E-2</v>
      </c>
    </row>
    <row r="151" spans="1:16">
      <c r="A151">
        <v>0.5</v>
      </c>
      <c r="B151">
        <f t="shared" ref="B151:P151" si="79">$A51*(B51^2)</f>
        <v>0.12054049999999999</v>
      </c>
      <c r="C151">
        <f t="shared" si="79"/>
        <v>0.11897442000000001</v>
      </c>
      <c r="D151">
        <f t="shared" si="79"/>
        <v>0.13457672000000001</v>
      </c>
      <c r="E151">
        <f t="shared" si="79"/>
        <v>0.13230367999999998</v>
      </c>
      <c r="F151">
        <f t="shared" si="79"/>
        <v>0.12345480499999997</v>
      </c>
      <c r="G151">
        <f t="shared" si="79"/>
        <v>0.10885777999999999</v>
      </c>
      <c r="H151">
        <f t="shared" si="79"/>
        <v>9.5659380000000002E-2</v>
      </c>
      <c r="I151">
        <f t="shared" si="79"/>
        <v>8.7445620000000002E-2</v>
      </c>
      <c r="J151">
        <f t="shared" si="79"/>
        <v>8.0842205E-2</v>
      </c>
      <c r="K151">
        <f t="shared" si="79"/>
        <v>7.4807119999999991E-2</v>
      </c>
      <c r="L151">
        <f t="shared" si="79"/>
        <v>6.2906045000000008E-2</v>
      </c>
      <c r="M151">
        <f t="shared" si="79"/>
        <v>4.7771404999999996E-2</v>
      </c>
      <c r="N151">
        <f t="shared" si="79"/>
        <v>4.1731604999999998E-2</v>
      </c>
      <c r="O151">
        <f t="shared" si="79"/>
        <v>4.0214480000000004E-2</v>
      </c>
      <c r="P151">
        <f t="shared" si="79"/>
        <v>4.121320500000001E-2</v>
      </c>
    </row>
    <row r="152" spans="1:16">
      <c r="A152">
        <f>3/4</f>
        <v>0.75</v>
      </c>
      <c r="B152">
        <f t="shared" ref="B152:P152" si="80">$A52*(B52^2)</f>
        <v>0.20311211999999998</v>
      </c>
      <c r="C152">
        <f t="shared" si="80"/>
        <v>0.21466875000000002</v>
      </c>
      <c r="D152">
        <f t="shared" si="80"/>
        <v>0.2296056675</v>
      </c>
      <c r="E152">
        <f t="shared" si="80"/>
        <v>0.21845706749999994</v>
      </c>
      <c r="F152">
        <f t="shared" si="80"/>
        <v>0.19899600750000002</v>
      </c>
      <c r="G152">
        <f t="shared" si="80"/>
        <v>0.17258406750000002</v>
      </c>
      <c r="H152">
        <f t="shared" si="80"/>
        <v>0.1508641875</v>
      </c>
      <c r="I152">
        <f t="shared" si="80"/>
        <v>0.1366827075</v>
      </c>
      <c r="J152">
        <f t="shared" si="80"/>
        <v>0.12564486750000001</v>
      </c>
      <c r="K152">
        <f t="shared" si="80"/>
        <v>0.11619072</v>
      </c>
      <c r="L152">
        <f t="shared" si="80"/>
        <v>9.8283000000000009E-2</v>
      </c>
      <c r="M152">
        <f t="shared" si="80"/>
        <v>7.574763000000001E-2</v>
      </c>
      <c r="N152">
        <f t="shared" si="80"/>
        <v>6.6023167500000007E-2</v>
      </c>
      <c r="O152">
        <f t="shared" si="80"/>
        <v>6.3336269999999986E-2</v>
      </c>
      <c r="P152">
        <f t="shared" si="80"/>
        <v>6.4079467500000001E-2</v>
      </c>
    </row>
    <row r="153" spans="1:16">
      <c r="A153">
        <v>1</v>
      </c>
      <c r="B153">
        <f t="shared" ref="B153:P153" si="81">$A53*(B53^2)</f>
        <v>0.30404196</v>
      </c>
      <c r="C153">
        <f t="shared" si="81"/>
        <v>0.34187409000000002</v>
      </c>
      <c r="D153">
        <f t="shared" si="81"/>
        <v>0.34774609000000001</v>
      </c>
      <c r="E153">
        <f t="shared" si="81"/>
        <v>0.32080896000000003</v>
      </c>
      <c r="F153">
        <f t="shared" si="81"/>
        <v>0.28547648999999997</v>
      </c>
      <c r="G153">
        <f t="shared" si="81"/>
        <v>0.24344356000000006</v>
      </c>
      <c r="H153">
        <f t="shared" si="81"/>
        <v>0.21187608999999999</v>
      </c>
      <c r="I153">
        <f t="shared" si="81"/>
        <v>0.19009599999999999</v>
      </c>
      <c r="J153">
        <f t="shared" si="81"/>
        <v>0.17380561</v>
      </c>
      <c r="K153">
        <f t="shared" si="81"/>
        <v>0.16056049</v>
      </c>
      <c r="L153">
        <f t="shared" si="81"/>
        <v>0.13675203999999996</v>
      </c>
      <c r="M153">
        <f t="shared" si="81"/>
        <v>0.10699441</v>
      </c>
      <c r="N153">
        <f t="shared" si="81"/>
        <v>9.3086010000000025E-2</v>
      </c>
      <c r="O153">
        <f t="shared" si="81"/>
        <v>8.8863609999999982E-2</v>
      </c>
      <c r="P153">
        <f t="shared" si="81"/>
        <v>8.8744409999999996E-2</v>
      </c>
    </row>
    <row r="154" spans="1:16">
      <c r="A154">
        <f>2</f>
        <v>2</v>
      </c>
      <c r="B154">
        <f t="shared" ref="B154:P154" si="82">$A54*(B54^2)</f>
        <v>0.88791138000000003</v>
      </c>
      <c r="C154">
        <f t="shared" si="82"/>
        <v>0.91503392000000006</v>
      </c>
      <c r="D154">
        <f t="shared" si="82"/>
        <v>0.783752</v>
      </c>
      <c r="E154">
        <f t="shared" si="82"/>
        <v>0.64207112</v>
      </c>
      <c r="F154">
        <f t="shared" si="82"/>
        <v>0.54121607999999999</v>
      </c>
      <c r="G154">
        <f t="shared" si="82"/>
        <v>0.45869041999999999</v>
      </c>
      <c r="H154">
        <f t="shared" si="82"/>
        <v>0.40069152000000002</v>
      </c>
      <c r="I154">
        <f t="shared" si="82"/>
        <v>0.35819648000000004</v>
      </c>
      <c r="J154">
        <f t="shared" si="82"/>
        <v>0.33260168000000001</v>
      </c>
      <c r="K154">
        <f t="shared" si="82"/>
        <v>0.31094497999999998</v>
      </c>
      <c r="L154">
        <f t="shared" si="82"/>
        <v>0.27187937999999995</v>
      </c>
      <c r="M154">
        <f t="shared" si="82"/>
        <v>0.22071368</v>
      </c>
      <c r="N154">
        <f t="shared" si="82"/>
        <v>0.19933297999999997</v>
      </c>
      <c r="O154">
        <f t="shared" si="82"/>
        <v>0.19170431999999998</v>
      </c>
      <c r="P154">
        <f t="shared" si="82"/>
        <v>0.18911249999999999</v>
      </c>
    </row>
    <row r="155" spans="1:16">
      <c r="A155">
        <v>3</v>
      </c>
      <c r="B155">
        <f t="shared" ref="B155:P155" si="83">$A55*(B55^2)</f>
        <v>1.5289596299999999</v>
      </c>
      <c r="C155">
        <f t="shared" si="83"/>
        <v>1.3071960300000001</v>
      </c>
      <c r="D155">
        <f t="shared" si="83"/>
        <v>1.0347638699999999</v>
      </c>
      <c r="E155">
        <f t="shared" si="83"/>
        <v>0.83350323000000004</v>
      </c>
      <c r="F155">
        <f t="shared" si="83"/>
        <v>0.69726123000000007</v>
      </c>
      <c r="G155">
        <f t="shared" si="83"/>
        <v>0.59835467999999981</v>
      </c>
      <c r="H155">
        <f t="shared" si="83"/>
        <v>0.52894803000000001</v>
      </c>
      <c r="I155">
        <f t="shared" si="83"/>
        <v>0.48096047999999997</v>
      </c>
      <c r="J155">
        <f t="shared" si="83"/>
        <v>0.44606207999999997</v>
      </c>
      <c r="K155">
        <f t="shared" si="83"/>
        <v>0.41940363000000003</v>
      </c>
      <c r="L155">
        <f t="shared" si="83"/>
        <v>0.37637292</v>
      </c>
      <c r="M155">
        <f t="shared" si="83"/>
        <v>0.31707003</v>
      </c>
      <c r="N155">
        <f t="shared" si="83"/>
        <v>0.29203200000000001</v>
      </c>
      <c r="O155">
        <f t="shared" si="83"/>
        <v>0.28090799999999999</v>
      </c>
      <c r="P155">
        <f t="shared" si="83"/>
        <v>0.27506352000000001</v>
      </c>
    </row>
    <row r="156" spans="1:16">
      <c r="A156">
        <v>4</v>
      </c>
      <c r="B156">
        <f t="shared" ref="B156:P156" si="84">$A56*(B56^2)</f>
        <v>1.62460516</v>
      </c>
      <c r="C156">
        <f t="shared" si="84"/>
        <v>1.2759961599999998</v>
      </c>
      <c r="D156">
        <f t="shared" si="84"/>
        <v>1.0128409599999999</v>
      </c>
      <c r="E156">
        <f t="shared" si="84"/>
        <v>0.84971524000000009</v>
      </c>
      <c r="F156">
        <f t="shared" si="84"/>
        <v>0.73994403999999991</v>
      </c>
      <c r="G156">
        <f t="shared" si="84"/>
        <v>0.66161956</v>
      </c>
      <c r="H156">
        <f t="shared" si="84"/>
        <v>0.60124516000000017</v>
      </c>
      <c r="I156">
        <f t="shared" si="84"/>
        <v>0.55830784</v>
      </c>
      <c r="J156">
        <f t="shared" si="84"/>
        <v>0.5291107599999999</v>
      </c>
      <c r="K156">
        <f t="shared" si="84"/>
        <v>0.50580544000000005</v>
      </c>
      <c r="L156">
        <f t="shared" si="84"/>
        <v>0.4626720399999999</v>
      </c>
      <c r="M156">
        <f t="shared" si="84"/>
        <v>0.40271716000000007</v>
      </c>
      <c r="N156">
        <f t="shared" si="84"/>
        <v>0.37945600000000002</v>
      </c>
      <c r="O156">
        <f t="shared" si="84"/>
        <v>0.3662670400000001</v>
      </c>
      <c r="P156">
        <f t="shared" si="84"/>
        <v>0.35283599999999998</v>
      </c>
    </row>
    <row r="157" spans="1:16">
      <c r="A157">
        <v>5</v>
      </c>
      <c r="B157">
        <f t="shared" ref="B157:P157" si="85">$A57*(B57^2)</f>
        <v>1.3364449999999999</v>
      </c>
      <c r="C157">
        <f t="shared" si="85"/>
        <v>1.1305012499999998</v>
      </c>
      <c r="D157">
        <f t="shared" si="85"/>
        <v>0.93831120000000023</v>
      </c>
      <c r="E157">
        <f t="shared" si="85"/>
        <v>0.82174579999999997</v>
      </c>
      <c r="F157">
        <f t="shared" si="85"/>
        <v>0.74807119999999994</v>
      </c>
      <c r="G157">
        <f t="shared" si="85"/>
        <v>0.68968980000000002</v>
      </c>
      <c r="H157">
        <f t="shared" si="85"/>
        <v>0.64908045000000003</v>
      </c>
      <c r="I157">
        <f t="shared" si="85"/>
        <v>0.61952000000000018</v>
      </c>
      <c r="J157">
        <f t="shared" si="85"/>
        <v>0.59443519999999994</v>
      </c>
      <c r="K157">
        <f t="shared" si="85"/>
        <v>0.57562245000000001</v>
      </c>
      <c r="L157">
        <f t="shared" si="85"/>
        <v>0.53628125000000004</v>
      </c>
      <c r="M157">
        <f t="shared" si="85"/>
        <v>0.47864180000000001</v>
      </c>
      <c r="N157">
        <f t="shared" si="85"/>
        <v>0.46025780000000005</v>
      </c>
      <c r="O157">
        <f t="shared" si="85"/>
        <v>0.44312645000000006</v>
      </c>
      <c r="P157">
        <f t="shared" si="85"/>
        <v>0.42108020000000002</v>
      </c>
    </row>
    <row r="158" spans="1:16">
      <c r="A158">
        <v>6</v>
      </c>
      <c r="B158">
        <f t="shared" ref="B158:P158" si="86">$A58*(B58^2)</f>
        <v>1.1983176599999998</v>
      </c>
      <c r="C158">
        <f t="shared" si="86"/>
        <v>1.0423334399999999</v>
      </c>
      <c r="D158">
        <f t="shared" si="86"/>
        <v>0.89954303999999996</v>
      </c>
      <c r="E158">
        <f t="shared" si="86"/>
        <v>0.81121974000000019</v>
      </c>
      <c r="F158">
        <f t="shared" si="86"/>
        <v>0.75444696000000011</v>
      </c>
      <c r="G158">
        <f t="shared" si="86"/>
        <v>0.71042885999999983</v>
      </c>
      <c r="H158">
        <f t="shared" si="86"/>
        <v>0.68181846000000002</v>
      </c>
      <c r="I158">
        <f t="shared" si="86"/>
        <v>0.66253973999999993</v>
      </c>
      <c r="J158">
        <f t="shared" si="86"/>
        <v>0.6427517399999999</v>
      </c>
      <c r="K158">
        <f t="shared" si="86"/>
        <v>0.63297023999999991</v>
      </c>
      <c r="L158">
        <f t="shared" si="86"/>
        <v>0.5949720599999998</v>
      </c>
      <c r="M158">
        <f t="shared" si="86"/>
        <v>0.54144095999999997</v>
      </c>
      <c r="N158">
        <f t="shared" si="86"/>
        <v>0.51896886000000009</v>
      </c>
      <c r="O158">
        <f t="shared" si="86"/>
        <v>0.4966277400000001</v>
      </c>
      <c r="P158">
        <f t="shared" si="86"/>
        <v>0.46805094000000003</v>
      </c>
    </row>
    <row r="159" spans="1:16">
      <c r="A159">
        <v>7</v>
      </c>
      <c r="B159">
        <f t="shared" ref="B159:P159" si="87">$A59*(B59^2)</f>
        <v>0.99860103000000011</v>
      </c>
      <c r="C159">
        <f t="shared" si="87"/>
        <v>0.91275246999999982</v>
      </c>
      <c r="D159">
        <f t="shared" si="87"/>
        <v>0.82883366999999986</v>
      </c>
      <c r="E159">
        <f t="shared" si="87"/>
        <v>0.77389375000000005</v>
      </c>
      <c r="F159">
        <f t="shared" si="87"/>
        <v>0.73710175000000011</v>
      </c>
      <c r="G159">
        <f t="shared" si="87"/>
        <v>0.71322048000000016</v>
      </c>
      <c r="H159">
        <f t="shared" si="87"/>
        <v>0.69589863000000007</v>
      </c>
      <c r="I159">
        <f t="shared" si="87"/>
        <v>0.68929307999999989</v>
      </c>
      <c r="J159">
        <f t="shared" si="87"/>
        <v>0.68271903000000012</v>
      </c>
      <c r="K159">
        <f t="shared" si="87"/>
        <v>0.67835382999999982</v>
      </c>
      <c r="L159">
        <f t="shared" si="87"/>
        <v>0.64351168000000003</v>
      </c>
      <c r="M159">
        <f t="shared" si="87"/>
        <v>0.59766588000000009</v>
      </c>
      <c r="N159">
        <f t="shared" si="87"/>
        <v>0.57057175000000016</v>
      </c>
      <c r="O159">
        <f t="shared" si="87"/>
        <v>0.54137727000000002</v>
      </c>
      <c r="P159">
        <f t="shared" si="87"/>
        <v>0.5057740799999999</v>
      </c>
    </row>
    <row r="160" spans="1:16">
      <c r="A160">
        <v>8</v>
      </c>
      <c r="B160">
        <f t="shared" ref="B160:P160" si="88">$A60*(B60^2)</f>
        <v>0.98560800000000015</v>
      </c>
      <c r="C160">
        <f t="shared" si="88"/>
        <v>0.92099591999999997</v>
      </c>
      <c r="D160">
        <f t="shared" si="88"/>
        <v>0.85020800000000007</v>
      </c>
      <c r="E160">
        <f t="shared" si="88"/>
        <v>0.81051911999999982</v>
      </c>
      <c r="F160">
        <f t="shared" si="88"/>
        <v>0.78826568000000008</v>
      </c>
      <c r="G160">
        <f t="shared" si="88"/>
        <v>0.76731271999999984</v>
      </c>
      <c r="H160">
        <f t="shared" si="88"/>
        <v>0.75104768</v>
      </c>
      <c r="I160">
        <f t="shared" si="88"/>
        <v>0.75300992000000011</v>
      </c>
      <c r="J160">
        <f t="shared" si="88"/>
        <v>0.75104768</v>
      </c>
      <c r="K160">
        <f t="shared" si="88"/>
        <v>0.74908799999999998</v>
      </c>
      <c r="L160">
        <f t="shared" si="88"/>
        <v>0.71138592000000012</v>
      </c>
      <c r="M160">
        <f t="shared" si="88"/>
        <v>0.66585800000000017</v>
      </c>
      <c r="N160">
        <f t="shared" si="88"/>
        <v>0.62989087999999982</v>
      </c>
      <c r="O160">
        <f t="shared" si="88"/>
        <v>0.59317831999999993</v>
      </c>
      <c r="P160">
        <f t="shared" si="88"/>
        <v>0.55125000000000002</v>
      </c>
    </row>
    <row r="161" spans="1:16">
      <c r="A161">
        <v>9</v>
      </c>
      <c r="B161">
        <f t="shared" ref="B161:P161" si="89">$A61*(B61^2)</f>
        <v>0.96353855999999993</v>
      </c>
      <c r="C161">
        <f t="shared" si="89"/>
        <v>0.92332881000000022</v>
      </c>
      <c r="D161">
        <f t="shared" si="89"/>
        <v>0.86936975999999988</v>
      </c>
      <c r="E161">
        <f t="shared" si="89"/>
        <v>0.84768849000000002</v>
      </c>
      <c r="F161">
        <f t="shared" si="89"/>
        <v>0.83229128999999991</v>
      </c>
      <c r="G161">
        <f t="shared" si="89"/>
        <v>0.81595088999999987</v>
      </c>
      <c r="H161">
        <f t="shared" si="89"/>
        <v>0.81216144000000001</v>
      </c>
      <c r="I161">
        <f t="shared" si="89"/>
        <v>0.81432575999999979</v>
      </c>
      <c r="J161">
        <f t="shared" si="89"/>
        <v>0.81703521000000012</v>
      </c>
      <c r="K161">
        <f t="shared" si="89"/>
        <v>0.81812024999999988</v>
      </c>
      <c r="L161">
        <f t="shared" si="89"/>
        <v>0.78216336000000009</v>
      </c>
      <c r="M161">
        <f t="shared" si="89"/>
        <v>0.73256481000000007</v>
      </c>
      <c r="N161">
        <f t="shared" si="89"/>
        <v>0.68657795999999993</v>
      </c>
      <c r="O161">
        <f t="shared" si="89"/>
        <v>0.6406401599999999</v>
      </c>
      <c r="P161">
        <f t="shared" si="89"/>
        <v>0.59213024999999997</v>
      </c>
    </row>
    <row r="162" spans="1:16">
      <c r="A162">
        <v>10</v>
      </c>
      <c r="B162">
        <f t="shared" ref="B162:P162" si="90">$A62*(B62^2)</f>
        <v>0.92781159999999985</v>
      </c>
      <c r="C162">
        <f t="shared" si="90"/>
        <v>0.91748410000000002</v>
      </c>
      <c r="D162">
        <f t="shared" si="90"/>
        <v>0.88625290000000012</v>
      </c>
      <c r="E162">
        <f t="shared" si="90"/>
        <v>0.87438490000000013</v>
      </c>
      <c r="F162">
        <f t="shared" si="90"/>
        <v>0.86789160000000021</v>
      </c>
      <c r="G162">
        <f t="shared" si="90"/>
        <v>0.86907040000000002</v>
      </c>
      <c r="H162">
        <f t="shared" si="90"/>
        <v>0.86966009999999994</v>
      </c>
      <c r="I162">
        <f t="shared" si="90"/>
        <v>0.87084010000000012</v>
      </c>
      <c r="J162">
        <f t="shared" si="90"/>
        <v>0.87971559999999993</v>
      </c>
      <c r="K162">
        <f t="shared" si="90"/>
        <v>0.88446760000000002</v>
      </c>
      <c r="L162">
        <f t="shared" si="90"/>
        <v>0.85147240000000002</v>
      </c>
      <c r="M162">
        <f t="shared" si="90"/>
        <v>0.7986276000000001</v>
      </c>
      <c r="N162">
        <f t="shared" si="90"/>
        <v>0.74038409999999999</v>
      </c>
      <c r="O162">
        <f t="shared" si="90"/>
        <v>0.6838225</v>
      </c>
      <c r="P162">
        <f t="shared" si="90"/>
        <v>0.62850489999999992</v>
      </c>
    </row>
    <row r="163" spans="1:16">
      <c r="A163">
        <v>12</v>
      </c>
      <c r="B163">
        <f t="shared" ref="B163:P163" si="91">$A63*(B63^2)</f>
        <v>1.03300272</v>
      </c>
      <c r="C163">
        <f t="shared" si="91"/>
        <v>1.02878208</v>
      </c>
      <c r="D163">
        <f t="shared" si="91"/>
        <v>0.99878700000000031</v>
      </c>
      <c r="E163">
        <f t="shared" si="91"/>
        <v>1.0133803199999998</v>
      </c>
      <c r="F163">
        <f t="shared" si="91"/>
        <v>1.0245700800000002</v>
      </c>
      <c r="G163">
        <f t="shared" si="91"/>
        <v>1.0231679999999999</v>
      </c>
      <c r="H163">
        <f t="shared" si="91"/>
        <v>1.0245700800000002</v>
      </c>
      <c r="I163">
        <f t="shared" si="91"/>
        <v>1.0301879999999999</v>
      </c>
      <c r="J163">
        <f t="shared" si="91"/>
        <v>1.0457164800000001</v>
      </c>
      <c r="K163">
        <f t="shared" si="91"/>
        <v>1.0556587199999998</v>
      </c>
      <c r="L163">
        <f t="shared" si="91"/>
        <v>1.0064179200000001</v>
      </c>
      <c r="M163">
        <f t="shared" si="91"/>
        <v>0.93476172000000013</v>
      </c>
      <c r="N163">
        <f t="shared" si="91"/>
        <v>0.84397247999999991</v>
      </c>
      <c r="O163">
        <f t="shared" si="91"/>
        <v>0.76689408000000014</v>
      </c>
      <c r="P163">
        <f t="shared" si="91"/>
        <v>0.70334892000000004</v>
      </c>
    </row>
    <row r="164" spans="1:16">
      <c r="A164">
        <v>15</v>
      </c>
      <c r="B164">
        <f t="shared" ref="B164:P164" si="92">$A64*(B64^2)</f>
        <v>1.1692896000000002</v>
      </c>
      <c r="C164">
        <f t="shared" si="92"/>
        <v>1.2013350000000003</v>
      </c>
      <c r="D164">
        <f t="shared" si="92"/>
        <v>1.2030336000000001</v>
      </c>
      <c r="E164">
        <f t="shared" si="92"/>
        <v>1.2269400000000004</v>
      </c>
      <c r="F164">
        <f t="shared" si="92"/>
        <v>1.2441600000000004</v>
      </c>
      <c r="G164">
        <f t="shared" si="92"/>
        <v>1.2554173499999999</v>
      </c>
      <c r="H164">
        <f t="shared" si="92"/>
        <v>1.2745837499999997</v>
      </c>
      <c r="I164">
        <f t="shared" si="92"/>
        <v>1.2974221500000003</v>
      </c>
      <c r="J164">
        <f t="shared" si="92"/>
        <v>1.3080313500000003</v>
      </c>
      <c r="K164">
        <f t="shared" si="92"/>
        <v>1.3160166000000002</v>
      </c>
      <c r="L164">
        <f t="shared" si="92"/>
        <v>1.2432961499999999</v>
      </c>
      <c r="M164">
        <f t="shared" si="92"/>
        <v>1.1319013499999999</v>
      </c>
      <c r="N164">
        <f t="shared" si="92"/>
        <v>0.97843740000000012</v>
      </c>
      <c r="O164">
        <f t="shared" si="92"/>
        <v>0.86472015000000013</v>
      </c>
      <c r="P164">
        <f t="shared" si="92"/>
        <v>0.79074239999999996</v>
      </c>
    </row>
    <row r="165" spans="1:16">
      <c r="A165">
        <v>20</v>
      </c>
      <c r="B165">
        <f t="shared" ref="B165:P165" si="93">$A65*(B65^2)</f>
        <v>1.6142562000000003</v>
      </c>
      <c r="C165">
        <f t="shared" si="93"/>
        <v>1.6924561999999999</v>
      </c>
      <c r="D165">
        <f t="shared" si="93"/>
        <v>1.6994449999999997</v>
      </c>
      <c r="E165">
        <f t="shared" si="93"/>
        <v>1.7251938000000002</v>
      </c>
      <c r="F165">
        <f t="shared" si="93"/>
        <v>1.7629922</v>
      </c>
      <c r="G165">
        <f t="shared" si="93"/>
        <v>1.7772721999999996</v>
      </c>
      <c r="H165">
        <f t="shared" si="93"/>
        <v>1.7940049999999998</v>
      </c>
      <c r="I165">
        <f t="shared" si="93"/>
        <v>1.7964017999999995</v>
      </c>
      <c r="J165">
        <f t="shared" si="93"/>
        <v>1.7868242000000001</v>
      </c>
      <c r="K165">
        <f t="shared" si="93"/>
        <v>1.7606178000000003</v>
      </c>
      <c r="L165">
        <f t="shared" si="93"/>
        <v>1.5961249999999996</v>
      </c>
      <c r="M165">
        <f t="shared" si="93"/>
        <v>1.3655537999999998</v>
      </c>
      <c r="N165">
        <f t="shared" si="93"/>
        <v>1.0932487999999998</v>
      </c>
      <c r="O165">
        <f t="shared" si="93"/>
        <v>0.97152319999999981</v>
      </c>
      <c r="P165">
        <f t="shared" si="93"/>
        <v>0.88284020000000007</v>
      </c>
    </row>
    <row r="166" spans="1:16">
      <c r="A166">
        <v>25</v>
      </c>
      <c r="B166">
        <f t="shared" ref="B166:P166" si="94">$A66*(B66^2)</f>
        <v>2.1301402500000002</v>
      </c>
      <c r="C166">
        <f t="shared" si="94"/>
        <v>2.1948422500000002</v>
      </c>
      <c r="D166">
        <f t="shared" si="94"/>
        <v>2.1859622500000002</v>
      </c>
      <c r="E166">
        <f t="shared" si="94"/>
        <v>2.1682562499999998</v>
      </c>
      <c r="F166">
        <f t="shared" si="94"/>
        <v>2.1506222500000001</v>
      </c>
      <c r="G166">
        <f t="shared" si="94"/>
        <v>2.0909160000000004</v>
      </c>
      <c r="H166">
        <f t="shared" si="94"/>
        <v>2.0434702499999999</v>
      </c>
      <c r="I166">
        <f t="shared" si="94"/>
        <v>1.9852809999999999</v>
      </c>
      <c r="J166">
        <f t="shared" si="94"/>
        <v>1.9265440000000003</v>
      </c>
      <c r="K166">
        <f t="shared" si="94"/>
        <v>1.857769</v>
      </c>
      <c r="L166">
        <f t="shared" si="94"/>
        <v>1.6615210000000005</v>
      </c>
      <c r="M166">
        <f t="shared" si="94"/>
        <v>1.3912202499999999</v>
      </c>
      <c r="N166">
        <f t="shared" si="94"/>
        <v>1.1235999999999999</v>
      </c>
      <c r="O166">
        <f t="shared" si="94"/>
        <v>1.0150562499999998</v>
      </c>
      <c r="P166">
        <f t="shared" si="94"/>
        <v>0.90155024999999978</v>
      </c>
    </row>
    <row r="167" spans="1:16">
      <c r="A167">
        <v>30</v>
      </c>
      <c r="B167">
        <f t="shared" ref="B167:P167" si="95">$A67*(B67^2)</f>
        <v>2.3958828000000003</v>
      </c>
      <c r="C167">
        <f t="shared" si="95"/>
        <v>2.3201882999999999</v>
      </c>
      <c r="D167">
        <f t="shared" si="95"/>
        <v>2.2440675000000003</v>
      </c>
      <c r="E167">
        <f t="shared" si="95"/>
        <v>2.1756747000000001</v>
      </c>
      <c r="F167">
        <f t="shared" si="95"/>
        <v>2.1163007999999999</v>
      </c>
      <c r="G167">
        <f t="shared" si="95"/>
        <v>2.0186508000000001</v>
      </c>
      <c r="H167">
        <f t="shared" si="95"/>
        <v>1.9400546999999995</v>
      </c>
      <c r="I167">
        <f t="shared" si="95"/>
        <v>1.8615242999999997</v>
      </c>
      <c r="J167">
        <f t="shared" si="95"/>
        <v>1.7846163000000002</v>
      </c>
      <c r="K167">
        <f t="shared" si="95"/>
        <v>1.7164992000000003</v>
      </c>
      <c r="L167">
        <f t="shared" si="95"/>
        <v>1.5554186999999997</v>
      </c>
      <c r="M167">
        <f t="shared" si="95"/>
        <v>1.3293075000000003</v>
      </c>
      <c r="N167">
        <f t="shared" si="95"/>
        <v>1.1036172</v>
      </c>
      <c r="O167">
        <f t="shared" si="95"/>
        <v>0.98609069999999976</v>
      </c>
      <c r="P167">
        <f t="shared" si="95"/>
        <v>0.86394269999999984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LUNALOGIC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Chi-Thanh.NGUYEN</dc:creator>
  <cp:lastModifiedBy>Chi-Thanh.NGUYEN</cp:lastModifiedBy>
  <dcterms:created xsi:type="dcterms:W3CDTF">2014-08-21T09:23:10Z</dcterms:created>
  <dcterms:modified xsi:type="dcterms:W3CDTF">2014-09-15T10:35:12Z</dcterms:modified>
</cp:coreProperties>
</file>